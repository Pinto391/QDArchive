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 Classifications" sheetId="2" state="visible" r:id="rId4"/>
    <sheet name="File Classifications" sheetId="3" state="visible" r:id="rId5"/>
    <sheet name="Project-Tags" sheetId="4" state="visible" r:id="rId6"/>
    <sheet name="Tags" sheetId="5" state="visible" r:id="rId7"/>
    <sheet name="Section Distribution" sheetId="6" state="visible" r:id="rId8"/>
    <sheet name="Division Distribu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<sst xmlns="http://schemas.openxmlformats.org/spreadsheetml/2006/main" count="9508" uniqueCount="1624">
  <si>
    <t xml:space="preserve">Seeding QDArchive — Part 2 Classification Results</t>
  </si>
  <si>
    <t xml:space="preserve">Almas Ali Pinto (23123639) — Applied Software Engineering Project (10 ECTS)</t>
  </si>
  <si>
    <t xml:space="preserve">Generated 16 July 2026 from working.db</t>
  </si>
  <si>
    <t xml:space="preserve">Metric</t>
  </si>
  <si>
    <t xml:space="preserve">Value</t>
  </si>
  <si>
    <t xml:space="preserve">Total projects</t>
  </si>
  <si>
    <t xml:space="preserve">Projects classified (ISIC section assigned)</t>
  </si>
  <si>
    <t xml:space="preserve">Projects unclassified</t>
  </si>
  <si>
    <t xml:space="preserve">Total files classified</t>
  </si>
  <si>
    <t xml:space="preserve">Files classified from own content</t>
  </si>
  <si>
    <t xml:space="preserve">Files inherited from parent project (no extractable text)</t>
  </si>
  <si>
    <t xml:space="preserve">Distinct searchable tags</t>
  </si>
  <si>
    <t xml:space="preserve">ISIC sections represented</t>
  </si>
  <si>
    <t xml:space="preserve">ISIC divisions represented</t>
  </si>
  <si>
    <t xml:space="preserve">Methodology: rule-based keyword classifier scored against the complete official ISIC Rev. 5 taxonomy (22 sections, 87 divisions), using both project metadata and extracted file content. See classification/classifier.py and 23123639_SQ26_Part2_Report.pdf for full methodology and technical challenges.</t>
  </si>
  <si>
    <t xml:space="preserve">project_id</t>
  </si>
  <si>
    <t xml:space="preserve">title</t>
  </si>
  <si>
    <t xml:space="preserve">repository</t>
  </si>
  <si>
    <t xml:space="preserve">download_method</t>
  </si>
  <si>
    <t xml:space="preserve">doi</t>
  </si>
  <si>
    <t xml:space="preserve">isic_section</t>
  </si>
  <si>
    <t xml:space="preserve">section_name</t>
  </si>
  <si>
    <t xml:space="preserve">isic_division</t>
  </si>
  <si>
    <t xml:space="preserve">division_name</t>
  </si>
  <si>
    <t xml:space="preserve">confidence</t>
  </si>
  <si>
    <t xml:space="preserve">method</t>
  </si>
  <si>
    <t xml:space="preserve">Data for: Socializing Policy Feedback: The Persistent Effects of Adolescent Policy Program Use on Political Behaviors and Attitudes in Adulthood</t>
  </si>
  <si>
    <t xml:space="preserve">qdr</t>
  </si>
  <si>
    <t xml:space="preserve">API-CALL</t>
  </si>
  <si>
    <t xml:space="preserve">https://doi.org/10.5064/F6HYTYIJ</t>
  </si>
  <si>
    <t xml:space="preserve">P</t>
  </si>
  <si>
    <t xml:space="preserve">Public administration and defence; compulsory social security</t>
  </si>
  <si>
    <t xml:space="preserve">84</t>
  </si>
  <si>
    <t xml:space="preserve">RULE_BASED_KEYWORDS</t>
  </si>
  <si>
    <t xml:space="preserve">Interviews Regarding Data Curation for Qualitative Data Reuse and Big Social Research</t>
  </si>
  <si>
    <t xml:space="preserve">https://doi.org/10.5064/F6GWMU4O</t>
  </si>
  <si>
    <t xml:space="preserve">S</t>
  </si>
  <si>
    <t xml:space="preserve">Arts, sports and recreation</t>
  </si>
  <si>
    <t xml:space="preserve">91</t>
  </si>
  <si>
    <t xml:space="preserve">Library, archives, museum and other cultural activities</t>
  </si>
  <si>
    <t xml:space="preserve">Data for: Exercise experiences in patients with metastatic lung cancer: A qualitative approach</t>
  </si>
  <si>
    <t xml:space="preserve">https://doi.org/10.5064/F6GEGCRX</t>
  </si>
  <si>
    <t xml:space="preserve">R</t>
  </si>
  <si>
    <t xml:space="preserve">Human health and social work activities</t>
  </si>
  <si>
    <t xml:space="preserve">86</t>
  </si>
  <si>
    <t xml:space="preserve">Human health activities</t>
  </si>
  <si>
    <t xml:space="preserve">Data for: Teaching with Shared Data for Learning Qualitative Data Analysis: A Multi-Sited Case Study of Instructor and Student Experiences</t>
  </si>
  <si>
    <t xml:space="preserve">https://doi.org/10.5064/F6XZV8BZ</t>
  </si>
  <si>
    <t xml:space="preserve">Q</t>
  </si>
  <si>
    <t xml:space="preserve">Education</t>
  </si>
  <si>
    <t xml:space="preserve">85</t>
  </si>
  <si>
    <t xml:space="preserve">Data for: Qualitative Data Sharing: Participant Understanding, Motivation, and Consent</t>
  </si>
  <si>
    <t xml:space="preserve">https://doi.org/10.5064/F6YYA3O3</t>
  </si>
  <si>
    <t xml:space="preserve">K</t>
  </si>
  <si>
    <t xml:space="preserve">Telecommunications, computer programming, consultancy, computing infrastructure, and other information service activities</t>
  </si>
  <si>
    <t xml:space="preserve">63</t>
  </si>
  <si>
    <t xml:space="preserve">Computing infrastructure, data processing, hosting, and other information service activities</t>
  </si>
  <si>
    <t xml:space="preserve">Data for: 'Perceptions on Ethical Considerations on the Conduct of Research During Disease Outbreaks in Nigeria by Policymakers and Ethicists'</t>
  </si>
  <si>
    <t xml:space="preserve">https://doi.org/10.5064/F6CMJ6F0</t>
  </si>
  <si>
    <t xml:space="preserve">Recovery Experiences in Young Women with Acute Myocardial Infarction</t>
  </si>
  <si>
    <t xml:space="preserve">https://doi.org/10.5064/F66R7QMF</t>
  </si>
  <si>
    <t xml:space="preserve">Ethical Challenges When Engaging Patients and Families in End-of-Life and Palliative Care Research</t>
  </si>
  <si>
    <t xml:space="preserve">https://doi.org/10.5064/F6WKR6ED</t>
  </si>
  <si>
    <t xml:space="preserve">Data for: Assessing the Usability of a Novel Toolkit for Creating Visual Key Information Pages for Informed Consent for Research</t>
  </si>
  <si>
    <t xml:space="preserve">https://doi.org/10.5064/F6XJ82VS</t>
  </si>
  <si>
    <t xml:space="preserve">Optimizing Openness in Human Participants Research: Harmonizing Standards for Consent Agreements and Data Management Plans to Empower the Reuse of Sensitive Scientific Data</t>
  </si>
  <si>
    <t xml:space="preserve">https://doi.org/10.5064/F6RQA7AQ</t>
  </si>
  <si>
    <t xml:space="preserve">Data for: Fostering Undergraduate Self-Confidence and Community in Solar/Astro-Physics: The Impact of Research Experiences and Public Outreach</t>
  </si>
  <si>
    <t xml:space="preserve">https://doi.org/10.5064/F6HH7SDG</t>
  </si>
  <si>
    <t xml:space="preserve">Marine Corps Organizational Culture Research (MCOCR) Project</t>
  </si>
  <si>
    <t xml:space="preserve">https://doi.org/10.5064/F6K4IVEP</t>
  </si>
  <si>
    <t xml:space="preserve">N</t>
  </si>
  <si>
    <t xml:space="preserve">Professional, scientific and technical activities</t>
  </si>
  <si>
    <t xml:space="preserve">72</t>
  </si>
  <si>
    <t xml:space="preserve">Scientific research and development</t>
  </si>
  <si>
    <t xml:space="preserve">Data for: A Qualitative Study of Knowledge, Attitude and Perceptions towards Malaria Prevention among People Living in Rural Upper River Valleys of Nepal</t>
  </si>
  <si>
    <t xml:space="preserve">https://doi.org/10.5064/F6WMOBYB</t>
  </si>
  <si>
    <t xml:space="preserve">Understanding advance care planning in patients and care partners living with Parkinson’s disease</t>
  </si>
  <si>
    <t xml:space="preserve">https://doi.org/10.5064/F6GZGCJB</t>
  </si>
  <si>
    <t xml:space="preserve">Data for: “I could not bear it”: Perceptions of Chronic Pain among Somali Pastoralists in Ethiopia. A Qualitative Study</t>
  </si>
  <si>
    <t xml:space="preserve">https://doi.org/10.5064/F6N2GOC9</t>
  </si>
  <si>
    <t xml:space="preserve">Data for: Qualitative Assessment of Proposed Visual Key Information Pages for Informed Consent</t>
  </si>
  <si>
    <t xml:space="preserve">https://doi.org/10.5064/F6DDBH8U</t>
  </si>
  <si>
    <t xml:space="preserve">74</t>
  </si>
  <si>
    <t xml:space="preserve">Other professional, scientific and technical activities</t>
  </si>
  <si>
    <t xml:space="preserve">Advance Care Planning in Hospice Organizations: A Qualitative Pilot Study</t>
  </si>
  <si>
    <t xml:space="preserve">https://doi.org/10.5064/F6YMWPUX</t>
  </si>
  <si>
    <t xml:space="preserve">Data for: Support or Control? Qualitative Interviews with Zambian Women on Male Partner Involvement in HIV Care During and After Pregnancy</t>
  </si>
  <si>
    <t xml:space="preserve">https://doi.org/10.5064/F6FHSZGO</t>
  </si>
  <si>
    <t xml:space="preserve">Data for: Barriers and Facilitators to Implementation of Mindfulness in Motion for Firefighters and  Emergency Medical Service Providers</t>
  </si>
  <si>
    <t xml:space="preserve">https://doi.org/10.5064/F68TOJJY</t>
  </si>
  <si>
    <t xml:space="preserve">Data for: Understanding Sociocultural Influences in Sexual Health Promotion and HIV Protection among Latinx Sexually Minoritized Men: A Qualitative Study</t>
  </si>
  <si>
    <t xml:space="preserve">https://doi.org/10.5064/F6YQVSMZ</t>
  </si>
  <si>
    <t xml:space="preserve">Data for: Building Evidence for a Concurrent Hospice and Dialysis Program for Terminal Patients with End-Stage Renal Disease (ESRD)</t>
  </si>
  <si>
    <t xml:space="preserve">https://doi.org/10.5064/F6DQNQWP</t>
  </si>
  <si>
    <t xml:space="preserve">Looking Back, Looking Forward: Lessons Learned about Prostitution Diversion Programs</t>
  </si>
  <si>
    <t xml:space="preserve">https://doi.org/10.5064/F6F7KQC7</t>
  </si>
  <si>
    <t xml:space="preserve">O</t>
  </si>
  <si>
    <t xml:space="preserve">Administrative and support service activities</t>
  </si>
  <si>
    <t xml:space="preserve">78</t>
  </si>
  <si>
    <t xml:space="preserve">Employment activities</t>
  </si>
  <si>
    <t xml:space="preserve">Community Expert Interviews on Priority Healthcare Needs Amongst People Experiencing Homelessness in Dublin, Ireland: 2022-2023</t>
  </si>
  <si>
    <t xml:space="preserve">https://doi.org/10.5064/F6HFOEC5</t>
  </si>
  <si>
    <t xml:space="preserve">Data For: Building a 4E Interview-Grounded Theory Model: A Case Study of Demand Factors for Customized Furniture</t>
  </si>
  <si>
    <t xml:space="preserve">https://doi.org/10.5064/F6MJXLBJ</t>
  </si>
  <si>
    <t xml:space="preserve">Data for: Drug Shortage Management: A Qualitative Assessment of a Collaborative Approach</t>
  </si>
  <si>
    <t xml:space="preserve">https://doi.org/10.5064/F6AGWUJG</t>
  </si>
  <si>
    <t xml:space="preserve">Caregiver Impact on Adherence to Discharge Instructions</t>
  </si>
  <si>
    <t xml:space="preserve">https://doi.org/10.5064/F6AKTDBI</t>
  </si>
  <si>
    <t xml:space="preserve">Data for: An Empirically Informed Analysis of the Ethical Issues Surrounding Split Liver Transplantation in the United Kingdom</t>
  </si>
  <si>
    <t xml:space="preserve">https://doi.org/10.5064/F66QRSDR</t>
  </si>
  <si>
    <t xml:space="preserve">PrEP Optimization Intervention: Qualitative Interviews with Healthcare Providers</t>
  </si>
  <si>
    <t xml:space="preserve">https://doi.org/10.5064/F6SHNJUG</t>
  </si>
  <si>
    <t xml:space="preserve">Understanding and Measuring Responsiveness of Physicians in Rural Bangladesh</t>
  </si>
  <si>
    <t xml:space="preserve">https://doi.org/10.5064/F6P55KNC</t>
  </si>
  <si>
    <t xml:space="preserve">Data for: Financial Regulatory Conundrums in the North Atlantic</t>
  </si>
  <si>
    <t xml:space="preserve">https://doi.org/10.5064/F6QR17WM</t>
  </si>
  <si>
    <t xml:space="preserve">J</t>
  </si>
  <si>
    <t xml:space="preserve">Publishing, broadcasting, and content production and distribution activities</t>
  </si>
  <si>
    <t xml:space="preserve">59</t>
  </si>
  <si>
    <t xml:space="preserve">Motion picture, video and television programme production, sound recording and music publishing activities</t>
  </si>
  <si>
    <t xml:space="preserve">Data for: Body-Worn Sensors for Parkinson's Disease: A Qualitative Approach with Patients and Healthcare Professionals</t>
  </si>
  <si>
    <t xml:space="preserve">https://doi.org/10.5064/F6XAGL0F</t>
  </si>
  <si>
    <t xml:space="preserve">Data for: Muscle Matters: An Integrationist Turn in Transatlantic Finance</t>
  </si>
  <si>
    <t xml:space="preserve">https://doi.org/10.5064/F6BKTTTT</t>
  </si>
  <si>
    <t xml:space="preserve">Data for: "Trickle-Down Burdens: The Effect of Provider Burdens on Clients' Experience"</t>
  </si>
  <si>
    <t xml:space="preserve">https://doi.org/10.5064/F6COFREM</t>
  </si>
  <si>
    <t xml:space="preserve">Data for: Data Diaries: Self-Reported Chronicles on Online Health Platforms and the Challenges for Technology Assessment</t>
  </si>
  <si>
    <t xml:space="preserve">https://doi.org/10.5064/F6JDLVAL</t>
  </si>
  <si>
    <t xml:space="preserve">Data for: Divisive Concepts Laws and Music Education:  PK-20 Music Educators’ Perceptions and Discourses</t>
  </si>
  <si>
    <t xml:space="preserve">https://doi.org/10.5064/F6I9I1T1</t>
  </si>
  <si>
    <t xml:space="preserve">Demand for Modern Contraception in Sub-Saharan Africa: New Methods, New Evidence</t>
  </si>
  <si>
    <t xml:space="preserve">https://doi.org/10.5064/F600CMLO</t>
  </si>
  <si>
    <t xml:space="preserve">Marine Corps Resilience Project</t>
  </si>
  <si>
    <t xml:space="preserve">https://doi.org/10.5064/F6NON328</t>
  </si>
  <si>
    <t xml:space="preserve">Fostering Ethical Neurotechnology Academia-Industry Partnerships: A Stakeholder Engagement and Toolkit Development Project</t>
  </si>
  <si>
    <t xml:space="preserve">https://doi.org/10.5064/F6J4JOSG</t>
  </si>
  <si>
    <t xml:space="preserve">Data for: Health Practitioners’ Readiness to Address Domestic Violence and Abuse: A Qualitative Meta-synthesis</t>
  </si>
  <si>
    <t xml:space="preserve">https://doi.org/10.5064/F6HY9R1Z</t>
  </si>
  <si>
    <t xml:space="preserve">Data for: Responding to Environmental Uncertainties in Critical Supply Acquisition: An Examination of Contracting for Personal Protective Equipment (PPE) in the Aftermath of COVID-19</t>
  </si>
  <si>
    <t xml:space="preserve">https://doi.org/10.5064/F6E1VOTO</t>
  </si>
  <si>
    <t xml:space="preserve">Data For: Exploring Clinician Expectations and Preferences of Library Subject Guides</t>
  </si>
  <si>
    <t xml:space="preserve">https://doi.org/10.5064/F6ZAKCWB</t>
  </si>
  <si>
    <t xml:space="preserve">Data for: Examining the Role of Childhood Experiences in Gender Identity and Expression: An Interpretative Phenomenological Analysis Using Social Learning Theory</t>
  </si>
  <si>
    <t xml:space="preserve">https://doi.org/10.5064/F6YPVCZG</t>
  </si>
  <si>
    <t xml:space="preserve">Data for: Exploring the Impact of Education-Based Experiences on Cisgender Children’s Gender through Social Learning Theory</t>
  </si>
  <si>
    <t xml:space="preserve">https://doi.org/10.5064/F6D1WP8I</t>
  </si>
  <si>
    <t xml:space="preserve">Coded Interview Excerpts about Protective Parenting Practices in Dhaka, Bangladesh</t>
  </si>
  <si>
    <t xml:space="preserve">https://doi.org/10.5064/F6BBLHIM</t>
  </si>
  <si>
    <t xml:space="preserve">A Question of Respect: A Qualitative Text Analysis of Canadian Parliamentary Committee Hearings on PCEPA</t>
  </si>
  <si>
    <t xml:space="preserve">https://doi.org/10.5064/F6Z31WJ1</t>
  </si>
  <si>
    <t xml:space="preserve">Experiences of Serious Illness Conversations (SICs) to Drive Health Equity in Serious Illness Care</t>
  </si>
  <si>
    <t xml:space="preserve">https://doi.org/10.5064/F6YCW448</t>
  </si>
  <si>
    <t xml:space="preserve">Anticoagulation Therapy on Discharge to Hospice Care</t>
  </si>
  <si>
    <t xml:space="preserve">https://doi.org/10.5064/F69JKYSS</t>
  </si>
  <si>
    <t xml:space="preserve">Data for: Disability Studies in Social Psychology: Research Directions Informed by a Survey of People with Disabilities</t>
  </si>
  <si>
    <t xml:space="preserve">https://doi.org/10.5064/F6PKA0UT</t>
  </si>
  <si>
    <t xml:space="preserve">Data for: Conquer Fear SUPPORT: A Psychosocial Intervention in Patients with Advanced Cancer</t>
  </si>
  <si>
    <t xml:space="preserve">https://doi.org/10.5064/F6FTJ1HU</t>
  </si>
  <si>
    <t xml:space="preserve">Data for “Registered Nurses’ Perceptions of Family Caregivers to Patients with Heart Failure: A Focus Group Interview Study.”</t>
  </si>
  <si>
    <t xml:space="preserve">https://doi.org/10.5064/F60Z715Z</t>
  </si>
  <si>
    <t xml:space="preserve">Data for: 'Chronic Disease Stigma, Skepticism of the Health System, and Socio-economic Fragility: Qualitative Assessment of Factors Impacting Receptiveness to Group Medical Visits and Microfinance for Non-communicable Disease Care in Rural Kenya'</t>
  </si>
  <si>
    <t xml:space="preserve">https://doi.org/10.5064/F6D0YBEA</t>
  </si>
  <si>
    <t xml:space="preserve">Data for: Improving Abortion Underreporting in the United States: A Cognitive Interview Study</t>
  </si>
  <si>
    <t xml:space="preserve">https://doi.org/10.5064/F6V5VGX3</t>
  </si>
  <si>
    <t xml:space="preserve">Marine Corps Staff Noncommissioned Officer Enlisted Education Project</t>
  </si>
  <si>
    <t xml:space="preserve">https://doi.org/10.5064/F6AHDRFQ</t>
  </si>
  <si>
    <t xml:space="preserve">Data for: Exploring sources of insecurity for Ethiopian Oromo and Somali women who have given birth in Kakuma Refugee Camp: A qualitative study</t>
  </si>
  <si>
    <t xml:space="preserve">https://doi.org/10.5064/F62T7NYQ</t>
  </si>
  <si>
    <t xml:space="preserve">So What Is Relationship Quality? A Multi-Country Investigation into the Conceptualization and Measurement of Relationship Quality</t>
  </si>
  <si>
    <t xml:space="preserve">https://doi.org/10.5064/F6VANJL8</t>
  </si>
  <si>
    <t xml:space="preserve">Data for: The Experience of Orthorexia from the Perspective of Recovered Orthorexics</t>
  </si>
  <si>
    <t xml:space="preserve">https://doi.org/10.5064/F6JTB799</t>
  </si>
  <si>
    <t xml:space="preserve">Data for: From legal doctrine to social transformation? Comparing U.S. voting rights, equal employment opportunity, and fair housing legislation</t>
  </si>
  <si>
    <t xml:space="preserve">https://doi.org/10.5064/F6AISJL0</t>
  </si>
  <si>
    <t xml:space="preserve">Data for: Integrating Co-Design into Formative Research for a SBCC Entry-Point Platform for Nutrition-Sensitive Social Protection Programs in Low- and Middle-Income Country Settings</t>
  </si>
  <si>
    <t xml:space="preserve">https://doi.org/10.5064/F6M0T6GO</t>
  </si>
  <si>
    <t xml:space="preserve">Seed systems in West Africa</t>
  </si>
  <si>
    <t xml:space="preserve">https://doi.org/10.5064/F6URYY1I</t>
  </si>
  <si>
    <t xml:space="preserve">A</t>
  </si>
  <si>
    <t xml:space="preserve">Agriculture, forestry and fishing</t>
  </si>
  <si>
    <t xml:space="preserve">01</t>
  </si>
  <si>
    <t xml:space="preserve">Crop and animal production, hunting and related service activities</t>
  </si>
  <si>
    <t xml:space="preserve">Qualitative Data from the Feasibility Assessment of a Traumatic Brain Injury Predictive Modeling Tool</t>
  </si>
  <si>
    <t xml:space="preserve">https://doi.org/10.5064/F6AALALY</t>
  </si>
  <si>
    <t xml:space="preserve">Rural Mobility and the Impacts of Auto-Oriented Infrastructure in Appalachia</t>
  </si>
  <si>
    <t xml:space="preserve">https://doi.org/10.5064/F6WPYRAD</t>
  </si>
  <si>
    <t xml:space="preserve">Translational Research Group: Ebola 100 Project</t>
  </si>
  <si>
    <t xml:space="preserve">https://doi.org/10.5064/F68PQFS8</t>
  </si>
  <si>
    <t xml:space="preserve">Unplanned Admission to the ICU: A Qualitative Study Examining Family Member Experiences</t>
  </si>
  <si>
    <t xml:space="preserve">https://doi.org/10.5064/F6GXXBVD</t>
  </si>
  <si>
    <t xml:space="preserve">Memories about Colégio São Vicente de Paulo, Rio de Janeiro, Brazil, 1970s-1980s</t>
  </si>
  <si>
    <t xml:space="preserve">https://doi.org/10.5064/F6FHTB9E</t>
  </si>
  <si>
    <t xml:space="preserve">Institutional Moral Hazard in the Regulation of Unemployment</t>
  </si>
  <si>
    <t xml:space="preserve">https://doi.org/10.5064/F65BVECY</t>
  </si>
  <si>
    <t xml:space="preserve">L</t>
  </si>
  <si>
    <t xml:space="preserve">Financial and insurance activities</t>
  </si>
  <si>
    <t xml:space="preserve">65</t>
  </si>
  <si>
    <t xml:space="preserve">Insurance, reinsurance and pension funding, except compulsory social security</t>
  </si>
  <si>
    <t xml:space="preserve">Data for “It is really just brilliant to get credits for something that is so important to you!” Skills for Life: University students’ perceptions of a planned dietary life skills course</t>
  </si>
  <si>
    <t xml:space="preserve">https://doi.org/10.5064/F6TSKFFN</t>
  </si>
  <si>
    <t xml:space="preserve">Data for: Finding pathways: Mixed-methods research for studying causal mechanisms</t>
  </si>
  <si>
    <t xml:space="preserve">https://doi.org/10.5064/F6MW2F2K</t>
  </si>
  <si>
    <t xml:space="preserve">Perspectives on Political Representation</t>
  </si>
  <si>
    <t xml:space="preserve">https://doi.org/10.5064/F6L9HHYL</t>
  </si>
  <si>
    <t xml:space="preserve">Data for: Experiences of Ghanaian Frontline Healthcare Workers During the COVID-19 Pandemic and Healthcare Leadership Recommendations</t>
  </si>
  <si>
    <t xml:space="preserve">https://doi.org/10.5064/F6FYZITI</t>
  </si>
  <si>
    <t xml:space="preserve">Data for: Demand for law and the security of property rights: The case of Post-soviet Russia</t>
  </si>
  <si>
    <t xml:space="preserve">https://doi.org/10.5064/F6K6DMCK</t>
  </si>
  <si>
    <t xml:space="preserve">Expanding Models of Delivery for Online Spiritual Care</t>
  </si>
  <si>
    <t xml:space="preserve">https://doi.org/10.5064/F6R7J9HL</t>
  </si>
  <si>
    <t xml:space="preserve">Data for: Why Is Secondary School Mathematics Difficult to Learn? From the Perspectives of In-Service Teachers and Cognitive Load Theory</t>
  </si>
  <si>
    <t xml:space="preserve">https://doi.org/10.5064/F6MAO6TQ</t>
  </si>
  <si>
    <t xml:space="preserve">Data for: Lessons Learned from Operationalizing the Integration of Nutrition-Specific and Nutrition-Sensitive Interventions in Rural Ethiopia</t>
  </si>
  <si>
    <t xml:space="preserve">https://doi.org/10.5064/F6MTPVK7</t>
  </si>
  <si>
    <t xml:space="preserve">Data for: A Comparative Case Study of Enhanced Geothermal Systems: Interacting Imaginaries of Place and Energy in Renewable Energy Transitions</t>
  </si>
  <si>
    <t xml:space="preserve">https://doi.org/10.5064/F6JDKEU0</t>
  </si>
  <si>
    <t xml:space="preserve">Data for: Mothering in the Time of Coronavirus</t>
  </si>
  <si>
    <t xml:space="preserve">https://doi.org/10.5064/F6GQ2ZC2</t>
  </si>
  <si>
    <t xml:space="preserve">Hate speech and France's court of cassation</t>
  </si>
  <si>
    <t xml:space="preserve">https://doi.org/10.5064/F6833Q5K</t>
  </si>
  <si>
    <t xml:space="preserve">Mapping Narratives on Mental Health: Data from a Scoping Review, Interview Study and Podcast Analysis</t>
  </si>
  <si>
    <t xml:space="preserve">https://doi.org/10.5064/F6E1OMLI</t>
  </si>
  <si>
    <t xml:space="preserve">Data for: Perceptions of Parental Functions among Married People in Benin</t>
  </si>
  <si>
    <t xml:space="preserve">https://doi.org/10.5064/F6JKV8QZ</t>
  </si>
  <si>
    <t xml:space="preserve">Data for: Forbearance as Redistribution: The Politics of Informal Welfare in Latin America</t>
  </si>
  <si>
    <t xml:space="preserve">https://doi.org/10.5064/F626JGPB</t>
  </si>
  <si>
    <t xml:space="preserve">Data for: Investigating Technology Opportunities Toward Improved Colorado Water Monitoring: Insights from Key Informant Interviews and Stakeholder Surveys</t>
  </si>
  <si>
    <t xml:space="preserve">https://doi.org/10.5064/F6TFIYHX</t>
  </si>
  <si>
    <t xml:space="preserve">Data for: China’s Governance Puzzle</t>
  </si>
  <si>
    <t xml:space="preserve">https://doi.org/10.5064/F6FBRTRW</t>
  </si>
  <si>
    <t xml:space="preserve">High Performance School-age Athletes at Australian Schools: A Study of Conflicting Demands</t>
  </si>
  <si>
    <t xml:space="preserve">https://doi.org/10.5064/F6ZP448B</t>
  </si>
  <si>
    <t xml:space="preserve">Data for: Socioeconomic Determinants of Nutritional Status among 'Baiga' Tribal Children in Balaghat District of Madhya Pradesh:  A Qualitative Study</t>
  </si>
  <si>
    <t xml:space="preserve">https://doi.org/10.5064/F6BGVREB</t>
  </si>
  <si>
    <t xml:space="preserve">The rise of ethnic politics in Latin America</t>
  </si>
  <si>
    <t xml:space="preserve">https://doi.org/10.5064/F6MS3QNV</t>
  </si>
  <si>
    <t xml:space="preserve">Data for "How do Search Systems Impact Systematic Searching? A Qualitative Study"</t>
  </si>
  <si>
    <t xml:space="preserve">https://doi.org/10.5064/F68AAMX3</t>
  </si>
  <si>
    <t xml:space="preserve">Data for: "Blame Avoidance and Policy Stability in Developing Democracies: The Politics of Public Security in Buenos Aires"</t>
  </si>
  <si>
    <t xml:space="preserve">https://doi.org/10.5064/F6RF5RZV</t>
  </si>
  <si>
    <t xml:space="preserve">Data for: Sexual Risk-Taking Behavior Amongst Emerging Adults from a Tertiary Institution of Learning from Coastal Kenya: A Qualitative Study of Stakeholders’ Perspectives Using Causal Loop Mapping</t>
  </si>
  <si>
    <t xml:space="preserve">https://doi.org/10.5064/F6SKWUDH</t>
  </si>
  <si>
    <t xml:space="preserve">Data for: Ways into Physical (In)Activity: The Role of Critical Life Events and Transitions in the Reconstructions of Young Adults</t>
  </si>
  <si>
    <t xml:space="preserve">https://doi.org/10.5064/F6JSKVPW</t>
  </si>
  <si>
    <t xml:space="preserve">Data for: Attachment to and Detachment from Favorite Stores: An Affordance Theory Perspective</t>
  </si>
  <si>
    <t xml:space="preserve">https://doi.org/10.5064/F6VAZJ2M</t>
  </si>
  <si>
    <t xml:space="preserve">Investigating and Archiving the Scholarly Git Experience</t>
  </si>
  <si>
    <t xml:space="preserve">https://doi.org/10.5064/F6VOIB8H</t>
  </si>
  <si>
    <t xml:space="preserve">Data for: Carbon Captured: How Business and Labor Control Climate Politics</t>
  </si>
  <si>
    <t xml:space="preserve">https://doi.org/10.5064/F6GYLSON</t>
  </si>
  <si>
    <t xml:space="preserve">Data for: Negotiation of the Use of Medical Contraception: Levers and Obstacles within Married Couple in Benin</t>
  </si>
  <si>
    <t xml:space="preserve">https://doi.org/10.5064/F6WBLX4I</t>
  </si>
  <si>
    <t xml:space="preserve">Capacity Building Assistance and Quality Improvement for HIV Care in New Orleans, LA</t>
  </si>
  <si>
    <t xml:space="preserve">https://doi.org/10.5064/F6MPV4TO</t>
  </si>
  <si>
    <t xml:space="preserve">Researching Students’ Information Choices (RSIC): Determining Identity and Judging Credibility in Digital Spaces</t>
  </si>
  <si>
    <t xml:space="preserve">https://doi.org/10.5064/F6JO85O4</t>
  </si>
  <si>
    <t xml:space="preserve">Data for: Stay Off My Field: Policing Boundaries in Human Rights and Democracy Promotion</t>
  </si>
  <si>
    <t xml:space="preserve">https://doi.org/10.5064/F6G3T1PF</t>
  </si>
  <si>
    <t xml:space="preserve">Data for: “Grassroots bureaucracy: Intergovernmental relations and popular mobilization in Brazil's AIDS policy sector”</t>
  </si>
  <si>
    <t xml:space="preserve">https://doi.org/10.5064/F6SF2T3N</t>
  </si>
  <si>
    <t xml:space="preserve">Data for: Healthy Volunteers’ Perceptions of Risk in U.S. Phase I Clinical Trials: A Mixed-methods Study</t>
  </si>
  <si>
    <t xml:space="preserve">https://doi.org/10.5064/F6LXO8PS</t>
  </si>
  <si>
    <t xml:space="preserve">The Pandemic Journaling Project, Subproject 1, PJP - Immigrant Women in NYC (PJP-IW/NYC)</t>
  </si>
  <si>
    <t xml:space="preserve">https://doi.org/10.5064/F6XOX6Y3</t>
  </si>
  <si>
    <t xml:space="preserve">Data for: Pastoralist Decision-making on the Tibetan Plateau</t>
  </si>
  <si>
    <t xml:space="preserve">https://doi.org/10.5064/F6WACFVR</t>
  </si>
  <si>
    <t xml:space="preserve">Data for: How Pre-Medical Scribing Shapes Medical Student Experience and Professional Identity</t>
  </si>
  <si>
    <t xml:space="preserve">https://doi.org/10.5064/F6LUHAPL</t>
  </si>
  <si>
    <t xml:space="preserve">Data for: 'Does commercialization undermine the benefits of decentralization for local services provision? Evidence from Mexico’s urban water and sanitation sector'</t>
  </si>
  <si>
    <t xml:space="preserve">https://doi.org/10.5064/F6F769GQ</t>
  </si>
  <si>
    <t xml:space="preserve">F</t>
  </si>
  <si>
    <t xml:space="preserve">Construction</t>
  </si>
  <si>
    <t xml:space="preserve">41</t>
  </si>
  <si>
    <t xml:space="preserve">Construction of residential and non-residential buildings</t>
  </si>
  <si>
    <t xml:space="preserve">Open Innovation in Science for Tele-Emergency Medicine Solutions in Austria</t>
  </si>
  <si>
    <t xml:space="preserve">https://doi.org/10.5064/F6WSCOD0</t>
  </si>
  <si>
    <t xml:space="preserve">Data for: Adapting a Selective Parent-Focused Child Sexual Abuse Prevention Curriculum for a Universal Audience: A Pilot Study</t>
  </si>
  <si>
    <t xml:space="preserve">https://doi.org/10.5064/F6ZXIJS5</t>
  </si>
  <si>
    <t xml:space="preserve">Mixed-methods Approach to Flood Hydrology in Ungauged Catchments</t>
  </si>
  <si>
    <t xml:space="preserve">https://doi.org/10.5064/F6ELHKCS</t>
  </si>
  <si>
    <t xml:space="preserve">Data for: Synthesis of Findings from the Literature and a Qualitative Research Study on the Impacts of Gender, Disability, and Ethnicity in Neglected Tropical Diseases Programs</t>
  </si>
  <si>
    <t xml:space="preserve">https://doi.org/10.5064/F6QXN205</t>
  </si>
  <si>
    <t xml:space="preserve">Data for: "What’s Wrong with Digital Stewardship: Evaluating the Organization of Digital Preservation Programs from Practitioners’ Perspectives"</t>
  </si>
  <si>
    <t xml:space="preserve">https://doi.org/10.5064/F6DJRPLK</t>
  </si>
  <si>
    <t xml:space="preserve">Data for: Making Sense of Human Rights Diplomacy: Evidence from a US Campaign to Free Political Prisoners</t>
  </si>
  <si>
    <t xml:space="preserve">https://doi.org/10.5064/F6OYTNPQ</t>
  </si>
  <si>
    <t xml:space="preserve">Data for: What Extraordinary Times Tell Us about Ordinary Ones: A Multiple Case Study of Precariously Employed Food Retail and Service Workers in Two U.S. State Contexts during the COVID-19 Pandemic</t>
  </si>
  <si>
    <t xml:space="preserve">https://doi.org/10.5064/F6Z82KER</t>
  </si>
  <si>
    <t xml:space="preserve">Using Participatory Approaches to Assess the Acceptability of Surveillance Systems: The Case of Bovine Tuberculosis in Belgium</t>
  </si>
  <si>
    <t xml:space="preserve">https://doi.org/10.5064/F6W66HPK</t>
  </si>
  <si>
    <t xml:space="preserve">The Experiences of Mothers in a Neonatal Unit and the Role of the Babble App</t>
  </si>
  <si>
    <t xml:space="preserve">https://doi.org/10.5064/F6TLRTD9</t>
  </si>
  <si>
    <t xml:space="preserve">Data for: Mental Health and Access to Care in the Montagnard Migrant Community: Examining Perspectives across Four Generations in North Carolina</t>
  </si>
  <si>
    <t xml:space="preserve">https://doi.org/10.5064/F6XFC4RG</t>
  </si>
  <si>
    <t xml:space="preserve">Data for: Evaluation of Video-Assisted HPV Education in Government-Supported Clinics in Western Kenya</t>
  </si>
  <si>
    <t xml:space="preserve">https://doi.org/10.5064/F6ING0AD</t>
  </si>
  <si>
    <t xml:space="preserve">Data for: The Meanings of 'The Child' for Married Couples in Benin</t>
  </si>
  <si>
    <t xml:space="preserve">https://doi.org/10.5064/F6MNCAPQ</t>
  </si>
  <si>
    <t xml:space="preserve">Data For: Mind Your Pain: A Single-Arm Feasibility Study to Assess a Smartphone-Based Interoceptive Attention Training for Patients with Chronic Low Back Pain</t>
  </si>
  <si>
    <t xml:space="preserve">https://doi.org/10.5064/F6QGJHI9</t>
  </si>
  <si>
    <t xml:space="preserve">Data for: The Bystander Affect Detection (BAD) Dataset for Failure Detection in HRI</t>
  </si>
  <si>
    <t xml:space="preserve">https://doi.org/10.5064/F6TAWBGS</t>
  </si>
  <si>
    <t xml:space="preserve">Brokers, voters, and clientelism: The puzzle of distributive politics</t>
  </si>
  <si>
    <t xml:space="preserve">https://doi.org/10.5064/F6Z60KZB</t>
  </si>
  <si>
    <t xml:space="preserve">UNCLASSIFIED</t>
  </si>
  <si>
    <t xml:space="preserve">Unclassified</t>
  </si>
  <si>
    <t xml:space="preserve">00</t>
  </si>
  <si>
    <t xml:space="preserve">The Effects of the Law on the Lives of Central American Unaccompanied Minors in the US</t>
  </si>
  <si>
    <t xml:space="preserve">https://doi.org/10.5064/F6CBM0MJ</t>
  </si>
  <si>
    <t xml:space="preserve">Ascertaining Intergovernmental Coordination Mechanisms</t>
  </si>
  <si>
    <t xml:space="preserve">https://doi.org/10.5064/F6QHVGUI</t>
  </si>
  <si>
    <t xml:space="preserve">Data For: Qualitative Interviews to Engage End-Users to Adapt I CAN PIC to the CARE Tool Employing a User-Centered Approach</t>
  </si>
  <si>
    <t xml:space="preserve">https://doi.org/10.5064/F6SXZFNA</t>
  </si>
  <si>
    <t xml:space="preserve">Practitioner Perspectives on the Values and Ethics of Library Assessment</t>
  </si>
  <si>
    <t xml:space="preserve">https://doi.org/10.5064/F6ORSLQF</t>
  </si>
  <si>
    <t xml:space="preserve">Data for: Older Adults’ Use of a Research-Based Web Platform for Social Interaction</t>
  </si>
  <si>
    <t xml:space="preserve">https://doi.org/10.5064/F6PKM9XP</t>
  </si>
  <si>
    <t xml:space="preserve">Between Interests and Law: The Politics of Transnational Commercial Disputes</t>
  </si>
  <si>
    <t xml:space="preserve">https://doi.org/10.5064/F6C8276H</t>
  </si>
  <si>
    <t xml:space="preserve">V</t>
  </si>
  <si>
    <t xml:space="preserve">Activities of extraterritorial organizations and bodies</t>
  </si>
  <si>
    <t xml:space="preserve">99</t>
  </si>
  <si>
    <t xml:space="preserve">Energy Democracy in Northeastern North America</t>
  </si>
  <si>
    <t xml:space="preserve">https://doi.org/10.5064/F6BUAX58</t>
  </si>
  <si>
    <t xml:space="preserve">Data for: Preferences for On-demand/Intermittent/Event-driven and Long-acting Injectable HIV Pre-exposure Prophylaxis (PrEP) among HIV-negative Black Gay, Bisexual, and other Sexual Minority Men in the United States: A Qualitative Study</t>
  </si>
  <si>
    <t xml:space="preserve">https://doi.org/10.5064/F6AW0DHS</t>
  </si>
  <si>
    <t xml:space="preserve">Data for: Cheating and Plagiarism in Higher Education Institutions (HEIs): A Literature Review</t>
  </si>
  <si>
    <t xml:space="preserve">https://doi.org/10.5064/F6NEGI7I</t>
  </si>
  <si>
    <t xml:space="preserve">South African COVID-19 Diaries</t>
  </si>
  <si>
    <t xml:space="preserve">https://doi.org/10.5064/F6BYXWYG</t>
  </si>
  <si>
    <t xml:space="preserve">Data for: Culture in la clínica: Evaluating the utility of the Cultural Formulation Interview (CFI) in a Mexican outpatient setting</t>
  </si>
  <si>
    <t xml:space="preserve">https://doi.org/10.5064/F6ICDLGP</t>
  </si>
  <si>
    <t xml:space="preserve">A qualitative study on the experiences and perspectives of public sector patients in Cape Town in managing the workload of demands of HIV and type 2 diabetes multimorbidity</t>
  </si>
  <si>
    <t xml:space="preserve">https://doi.org/10.5064/F6CE5MRF</t>
  </si>
  <si>
    <t xml:space="preserve">Online Appendices for: "Insurgent Recruitment Practices and Combat Effectiveness in Civil War: The Black September Conflict in Jordan"</t>
  </si>
  <si>
    <t xml:space="preserve">https://doi.org/10.5064/F617CWDH</t>
  </si>
  <si>
    <t xml:space="preserve">Water Insecurity and Gender Based Violence: Exploring Links and Steps for Prevention. A Comparative Study of Indonesian and Peruvian Women. HWISE+GBV</t>
  </si>
  <si>
    <t xml:space="preserve">https://doi.org/10.5064/F6YHXD54</t>
  </si>
  <si>
    <t xml:space="preserve">E</t>
  </si>
  <si>
    <t xml:space="preserve">Water supply; sewerage, waste management and remediation activities</t>
  </si>
  <si>
    <t xml:space="preserve">36</t>
  </si>
  <si>
    <t xml:space="preserve">Water collection, treatment and supply</t>
  </si>
  <si>
    <t xml:space="preserve">Adverse psychological effects amongst self-tested individuals living in couples in urban Blantyre, Malawi</t>
  </si>
  <si>
    <t xml:space="preserve">https://doi.org/10.5064/F6RL3PS2</t>
  </si>
  <si>
    <t xml:space="preserve">Data for: Perceptions of stigma and discrimination in health care settings towards Sub-saharan African migrant women living with hiv/aids in Belgium: A qualitative study</t>
  </si>
  <si>
    <t xml:space="preserve">https://doi.org/10.5064/F6CNZC8J</t>
  </si>
  <si>
    <t xml:space="preserve">Data for: Acceptability and Feasibility of Video-based Health Education for Maternal and Infant Health in Dirashe District, South Ethiopia: A Qualitative Study</t>
  </si>
  <si>
    <t xml:space="preserve">https://doi.org/10.5064/F6MBHFRJ</t>
  </si>
  <si>
    <t xml:space="preserve">Data for: The unstoppable glottal: Tracking rapid change in an iconic British variable</t>
  </si>
  <si>
    <t xml:space="preserve">https://doi.org/10.5064/F6OPE7MJ</t>
  </si>
  <si>
    <t xml:space="preserve">Data for: From Pews to Politics: Religious Sermons and Political Participation in Africa</t>
  </si>
  <si>
    <t xml:space="preserve">https://doi.org/10.5064/F6NUVQRR</t>
  </si>
  <si>
    <t xml:space="preserve">The Argentine Supreme Court in press, 1995-1999</t>
  </si>
  <si>
    <t xml:space="preserve">https://doi.org/10.5064/F6QN64NH</t>
  </si>
  <si>
    <t xml:space="preserve">Data for: Factors Perceived as Influencing Local Health Department Involvement in Mental Health</t>
  </si>
  <si>
    <t xml:space="preserve">https://doi.org/10.5064/F6SUMYSH</t>
  </si>
  <si>
    <t xml:space="preserve">Access in Higher Education: A Document Collection</t>
  </si>
  <si>
    <t xml:space="preserve">https://doi.org/10.5064/F6Y14ASY</t>
  </si>
  <si>
    <t xml:space="preserve">Gender and Participation in Community Based Development: Evidence from the Decentralized Climate Funds Program in Senegal</t>
  </si>
  <si>
    <t xml:space="preserve">https://doi.org/10.5064/F6HTXF0H</t>
  </si>
  <si>
    <t xml:space="preserve">Data for: Envisioning the Use of In-Situ Arm Movement Data in Stroke Rehabilitation: Stroke Survivors’ and Occupational Therapists’ Perspectives</t>
  </si>
  <si>
    <t xml:space="preserve">https://doi.org/10.5064/F6L42GPJ</t>
  </si>
  <si>
    <t xml:space="preserve">Exploring the Acceptability of a Community-Enhanced Intervention to Improve Decision Support Partnership between Patients with Chronic Kidney Disease and Their Family Caregivers</t>
  </si>
  <si>
    <t xml:space="preserve">https://doi.org/10.5064/F6UXQABW</t>
  </si>
  <si>
    <t xml:space="preserve">Transnational Jihadists Lebanese Recruits</t>
  </si>
  <si>
    <t xml:space="preserve">https://doi.org/10.5064/F6P3QF2Y</t>
  </si>
  <si>
    <t xml:space="preserve">Organizational Response to Emerging Threats: Lessons from NATO and the European Union’s Responses to Peacebuilding, Cyber Threats and Energy Security</t>
  </si>
  <si>
    <t xml:space="preserve">https://doi.org/10.5064/F61MNQL0</t>
  </si>
  <si>
    <t xml:space="preserve">Perceived Risks and Benefits of Using a Survival and Functional Outcome Machine Learning Model for Glioblastoma</t>
  </si>
  <si>
    <t xml:space="preserve">https://doi.org/10.5064/F60VEORO</t>
  </si>
  <si>
    <t xml:space="preserve">Pilot Testing a Virtual Reality Protocol for Improving Pain and Pain-Related Distress in Patients with Advanced Stage Colorectal Cancer</t>
  </si>
  <si>
    <t xml:space="preserve">https://doi.org/10.5064/F6NSP4U5</t>
  </si>
  <si>
    <t xml:space="preserve">Data For: Optimising Instructional Materials for COVID-19 Rapid Tests for Self-Sampling and Testing: Mapping the Optimization Process of Manufacturer’s Instructions for Use for Self-Testing RDTs Intended for Low Literacy Contexts</t>
  </si>
  <si>
    <t xml:space="preserve">https://doi.org/10.5064/F6H1QLNL</t>
  </si>
  <si>
    <t xml:space="preserve">Negotiating formality: Informal sector, market, and state in Peru</t>
  </si>
  <si>
    <t xml:space="preserve">https://doi.org/10.5064/F6D798BB</t>
  </si>
  <si>
    <t xml:space="preserve">Data for: Implementation of Home Blood Pressure Monitoring among French GPs: A Long and Winding Road</t>
  </si>
  <si>
    <t xml:space="preserve">https://doi.org/10.5064/F6NKFLPN</t>
  </si>
  <si>
    <t xml:space="preserve">Youth and Adult Responses to E-cigarette Warning Messages - Focus Group Transcripts</t>
  </si>
  <si>
    <t xml:space="preserve">https://doi.org/10.5064/F6LQGCLG</t>
  </si>
  <si>
    <t xml:space="preserve">Data for: Translanguaging through the Lens of Social Justice: Unpacking Educators’ Understanding and Practices.</t>
  </si>
  <si>
    <t xml:space="preserve">https://doi.org/10.5064/F68ROXYA</t>
  </si>
  <si>
    <t xml:space="preserve">Data for: Barriers to Hospice and Palliative Care Utilization Among Adolescent and Young Adult Cancer Patients Living in Poverty</t>
  </si>
  <si>
    <t xml:space="preserve">https://doi.org/10.5064/F6LBYMQO</t>
  </si>
  <si>
    <t xml:space="preserve">Data for: The Power of Human Rights Frames in Urban Security: Lessons from Bogotá</t>
  </si>
  <si>
    <t xml:space="preserve">https://doi.org/10.5064/F630E3UT</t>
  </si>
  <si>
    <t xml:space="preserve">Data for 'The Rise of Investor-State Arbitration: Politics, Law, and Unintended Consequences'</t>
  </si>
  <si>
    <t xml:space="preserve">https://doi.org/10.5064/F6UMRNAC</t>
  </si>
  <si>
    <t xml:space="preserve">Problem-Solving Courts, Street Level Bureaucrats, and Clients as Policy Agents in a Prostitution Diversion Program</t>
  </si>
  <si>
    <t xml:space="preserve">https://doi.org/10.5064/F6C8VUHP</t>
  </si>
  <si>
    <t xml:space="preserve">A qualitative study of perspectives on postnatal care referrals by Traditional Birth Attendants in Ebonyi State, Nigeria</t>
  </si>
  <si>
    <t xml:space="preserve">https://doi.org/10.5064/F67H1GGS</t>
  </si>
  <si>
    <t xml:space="preserve">Constitute: Constitutional text for scholars and​ drafters</t>
  </si>
  <si>
    <t xml:space="preserve">https://doi.org/10.5064/F6TD9V7G</t>
  </si>
  <si>
    <t xml:space="preserve">Data for: The Political Legacies of Wartime Resistance</t>
  </si>
  <si>
    <t xml:space="preserve">https://doi.org/10.5064/F6F2SBHT</t>
  </si>
  <si>
    <t xml:space="preserve">Monstrosity and Dehumanization in the 2016 U.S. Presidential Contest</t>
  </si>
  <si>
    <t xml:space="preserve">https://doi.org/10.5064/F6TB14TP</t>
  </si>
  <si>
    <t xml:space="preserve">Data for: Identifying and Exploring Solutions to the Ethical Challenges of ApoL1 Testing of Donors with Recent African Ancestry Through Mixed Methods Research with Stakeholders</t>
  </si>
  <si>
    <t xml:space="preserve">https://doi.org/10.5064/F6K0JFHT</t>
  </si>
  <si>
    <t xml:space="preserve">Data for: “The politics of polarization: Governance and party system change in Latin America, 1990-2010”</t>
  </si>
  <si>
    <t xml:space="preserve">https://doi.org/10.5064/F66Q1V52</t>
  </si>
  <si>
    <t xml:space="preserve">Data for: The Structure of Description: Evaluating Historical Description and its Role in Theorizing</t>
  </si>
  <si>
    <t xml:space="preserve">https://doi.org/10.5064/F6OAEIDA</t>
  </si>
  <si>
    <t xml:space="preserve">Data for: Women Insurgents, Rebel Organization Structure and Sustaining the Rebellion:  The Case of Kurdistan Workers’ Party</t>
  </si>
  <si>
    <t xml:space="preserve">https://doi.org/10.5064/F6TZKMDU</t>
  </si>
  <si>
    <t xml:space="preserve">Data for: Debating Algorithmic Fairness</t>
  </si>
  <si>
    <t xml:space="preserve">https://doi.org/10.5064/F6JOQXNF</t>
  </si>
  <si>
    <t xml:space="preserve">Data for: COVID Diaries, Part II: U.S. Media Response to COVID Vaccination Program, December 2020 to September 2021</t>
  </si>
  <si>
    <t xml:space="preserve">https://doi.org/10.5064/F63IIXNY</t>
  </si>
  <si>
    <t xml:space="preserve">Data for: “Democratic and Judicial Stagnation,” in: Pathways to Judicial Power in Transitional States: Perspectives from African Courts</t>
  </si>
  <si>
    <t xml:space="preserve">https://doi.org/10.5064/F6PN93H4</t>
  </si>
  <si>
    <t xml:space="preserve">Interstate War Initiation and Termination (I-WIT) data set</t>
  </si>
  <si>
    <t xml:space="preserve">https://doi.org/10.5064/F6JW8BSD</t>
  </si>
  <si>
    <t xml:space="preserve">Data for: Appreciative Inquiry Study of Asynchronous Teleconsultations</t>
  </si>
  <si>
    <t xml:space="preserve">https://doi.org/10.5064/F6UURYON</t>
  </si>
  <si>
    <t xml:space="preserve">Data for: Critical Review of Digital Family Scholarship and the Internet as an Institution</t>
  </si>
  <si>
    <t xml:space="preserve">https://doi.org/10.5064/F6CINITU</t>
  </si>
  <si>
    <t xml:space="preserve">Data for: Monster or Hero? Far-right Responses to Anders Behring Breivik and the 22 July Terrorist Attacks</t>
  </si>
  <si>
    <t xml:space="preserve">https://doi.org/10.5064/F6MBCJ8M</t>
  </si>
  <si>
    <t xml:space="preserve">90</t>
  </si>
  <si>
    <t xml:space="preserve">Arts creation and performing arts activities</t>
  </si>
  <si>
    <t xml:space="preserve">Non Task-Specific Training</t>
  </si>
  <si>
    <t xml:space="preserve">https://doi.org/10.5064/F6Z5ZNWH</t>
  </si>
  <si>
    <t xml:space="preserve">M2 Fractions Between Elementary Mathematics Task</t>
  </si>
  <si>
    <t xml:space="preserve">https://doi.org/10.5064/F6IJOKZD</t>
  </si>
  <si>
    <t xml:space="preserve">M3 Birdseed Elementary Mathematics Task</t>
  </si>
  <si>
    <t xml:space="preserve">https://doi.org/10.5064/F6OJNVF1</t>
  </si>
  <si>
    <t xml:space="preserve">Data for: Why efforts to promote the rule of law in Afghanistan failed</t>
  </si>
  <si>
    <t xml:space="preserve">https://doi.org/10.5064/F6TZYR0Y</t>
  </si>
  <si>
    <t xml:space="preserve">Pedagogical Materials on International Politics and Cold War History</t>
  </si>
  <si>
    <t xml:space="preserve">https://doi.org/10.5064/F6IQTIML</t>
  </si>
  <si>
    <t xml:space="preserve">Data for: Ideational Factors and Civilian Contention in Civil War</t>
  </si>
  <si>
    <t xml:space="preserve">https://doi.org/10.5064/F6Z5A2A7</t>
  </si>
  <si>
    <t xml:space="preserve">M4 Eight Divided by One-Fourth Elementary Mathematics Task</t>
  </si>
  <si>
    <t xml:space="preserve">https://doi.org/10.5064/F6BCQ6DM</t>
  </si>
  <si>
    <t xml:space="preserve">S4 Changing Matter Elementary Science Task</t>
  </si>
  <si>
    <t xml:space="preserve">https://doi.org/10.5064/F6QPV2QK</t>
  </si>
  <si>
    <t xml:space="preserve">S3 Modeling Matter Elementary Science Task</t>
  </si>
  <si>
    <t xml:space="preserve">https://doi.org/10.5064/F6ETSBWQ</t>
  </si>
  <si>
    <t xml:space="preserve">S2 Conservation of Matter Elementary Science Task</t>
  </si>
  <si>
    <t xml:space="preserve">https://doi.org/10.5064/F6R3772G</t>
  </si>
  <si>
    <t xml:space="preserve">Consumer Subsidies in Post-crisis Argentina</t>
  </si>
  <si>
    <t xml:space="preserve">https://doi.org/10.5064/F6BG2KWC</t>
  </si>
  <si>
    <t xml:space="preserve">H</t>
  </si>
  <si>
    <t xml:space="preserve">Transportation and storage</t>
  </si>
  <si>
    <t xml:space="preserve">49</t>
  </si>
  <si>
    <t xml:space="preserve">Land transport and transport via pipelines</t>
  </si>
  <si>
    <t xml:space="preserve">Data for: The Last Mile Problem: Activists, Advocates and the Struggle for Justice in Domestic Courts</t>
  </si>
  <si>
    <t xml:space="preserve">https://doi.org/10.5064/F6H12ZXF</t>
  </si>
  <si>
    <t xml:space="preserve">Data for: The Pandemic Journaling Project, Phase One (PJP-1)</t>
  </si>
  <si>
    <t xml:space="preserve">https://doi.org/10.5064/F6PXS9ZK</t>
  </si>
  <si>
    <t xml:space="preserve">Data for: Online Dating Experiences of LGBTQ+ Emerging Adults with Disabilities</t>
  </si>
  <si>
    <t xml:space="preserve">https://doi.org/10.5064/F6WYIXV3</t>
  </si>
  <si>
    <t xml:space="preserve">Data for: Exposure to trade and postcolonial divergence on the island of Hispaniola</t>
  </si>
  <si>
    <t xml:space="preserve">https://doi.org/10.5064/F6MFN8D4</t>
  </si>
  <si>
    <t xml:space="preserve">M1 Ordering Fractions Elementary Mathematics Task</t>
  </si>
  <si>
    <t xml:space="preserve">https://doi.org/10.5064/F6W3BY0S</t>
  </si>
  <si>
    <t xml:space="preserve">S1 Mystery Powder Science Elementary Task</t>
  </si>
  <si>
    <t xml:space="preserve">https://doi.org/10.5064/F6FLYLN6</t>
  </si>
  <si>
    <t xml:space="preserve">Data for: The non-democratic roots of mass education: Evidence from 200 years</t>
  </si>
  <si>
    <t xml:space="preserve">https://doi.org/10.5064/F6EOZGLB</t>
  </si>
  <si>
    <t xml:space="preserve">Catalog of Ocean Data Science Initiatives</t>
  </si>
  <si>
    <t xml:space="preserve">https://doi.org/10.5064/F6ZQWQJS</t>
  </si>
  <si>
    <t xml:space="preserve">Association for Legal Justice (ALJ) Human Rights Testimony, Northern Ireland</t>
  </si>
  <si>
    <t xml:space="preserve">https://doi.org/10.5064/F6LHMHJR</t>
  </si>
  <si>
    <t xml:space="preserve">Data for: “Russia: The politics and psychology of overcommitment,” in: The ideology of the offensive: Military decision making and the disasters of 1914</t>
  </si>
  <si>
    <t xml:space="preserve">https://doi.org/10.5064/F6KW5CXS</t>
  </si>
  <si>
    <t xml:space="preserve">Data for: Relational Foundations of an Unequal Consumer Credit Market: Symbiotic Ties between Banks and Payday Lenders</t>
  </si>
  <si>
    <t xml:space="preserve">https://doi.org/10.5064/F6OTUZMQ</t>
  </si>
  <si>
    <t xml:space="preserve">Democracies and Dictatorships in Latin America: Political Actors, 1944-2010</t>
  </si>
  <si>
    <t xml:space="preserve">https://doi.org/10.5064/F65Q4T1P</t>
  </si>
  <si>
    <t xml:space="preserve">T</t>
  </si>
  <si>
    <t xml:space="preserve">Other service activities</t>
  </si>
  <si>
    <t xml:space="preserve">94</t>
  </si>
  <si>
    <t xml:space="preserve">Activities of membership organizations</t>
  </si>
  <si>
    <t xml:space="preserve">Data for: “Ninguém me chama” - “Nobody asked me”: Gendered Patterns of Participation in Sea Turtle Conservation in Northeast Brazil</t>
  </si>
  <si>
    <t xml:space="preserve">https://doi.org/10.5064/F6SGXPOS</t>
  </si>
  <si>
    <t xml:space="preserve">Scoring</t>
  </si>
  <si>
    <t xml:space="preserve">https://doi.org/10.5064/F6NJU10I</t>
  </si>
  <si>
    <t xml:space="preserve">Data for: COVID Diaries, State Response to COVID Vaccination Program, December 2020 to September 2021</t>
  </si>
  <si>
    <t xml:space="preserve">https://doi.org/10.5064/F6G2PETF</t>
  </si>
  <si>
    <t xml:space="preserve">Integrating End-User Needs and Perspectives in the Measurement of Young Adult Climate Change Distress</t>
  </si>
  <si>
    <t xml:space="preserve">https://doi.org/10.5064/F6PN4ARY</t>
  </si>
  <si>
    <t xml:space="preserve">Data for: Responsible AI Practice in Libraries and Archives: A Review of the Literature</t>
  </si>
  <si>
    <t xml:space="preserve">https://doi.org/10.5064/F6QME490</t>
  </si>
  <si>
    <t xml:space="preserve">Data for: What the Iran-Iraq War tells us about the future of the Iran nuclear deal</t>
  </si>
  <si>
    <t xml:space="preserve">https://doi.org/10.5064/F6IOMX5S</t>
  </si>
  <si>
    <t xml:space="preserve">Presidential Campaign Advertising in Chile, Brazil, and Peru</t>
  </si>
  <si>
    <t xml:space="preserve">https://doi.org/10.5064/F62Z13FQ</t>
  </si>
  <si>
    <t xml:space="preserve">Data for: Regional governance: The evolution of a new institutional form</t>
  </si>
  <si>
    <t xml:space="preserve">https://doi.org/10.5064/F6UHXBNH</t>
  </si>
  <si>
    <t xml:space="preserve">75</t>
  </si>
  <si>
    <t xml:space="preserve">Veterinary activities</t>
  </si>
  <si>
    <t xml:space="preserve">Data for: Nepal's Constitutional Development and the Challenges of Constitution Making</t>
  </si>
  <si>
    <t xml:space="preserve">https://doi.org/10.5064/F6LTXGPB</t>
  </si>
  <si>
    <t xml:space="preserve">Data for:  'A Directory of Cartographic Inventors' and 'Patents and Cartographic Inventions'</t>
  </si>
  <si>
    <t xml:space="preserve">https://doi.org/10.5064/F6B7AR4J</t>
  </si>
  <si>
    <t xml:space="preserve">Data for: Visual Regimes and the Politics of War Experience: Rewriting War ‘from above’ in WikiLeaks’ ‘Collateral Murder’</t>
  </si>
  <si>
    <t xml:space="preserve">https://doi.org/10.5064/F643DB5O</t>
  </si>
  <si>
    <t xml:space="preserve">Data for: Covenants without the sword? Comparing prison self-governance globally</t>
  </si>
  <si>
    <t xml:space="preserve">https://doi.org/10.5064/F6AGINR7</t>
  </si>
  <si>
    <t xml:space="preserve">Data for: Making and Remaking Kenya's Constitution</t>
  </si>
  <si>
    <t xml:space="preserve">https://doi.org/10.5064/F6E1GIFI</t>
  </si>
  <si>
    <t xml:space="preserve">Data for: Decisions, Deadlocks and Deadlines in Making South Africa's Constitution</t>
  </si>
  <si>
    <t xml:space="preserve">https://doi.org/10.5064/F6MDFAZM</t>
  </si>
  <si>
    <t xml:space="preserve">Data for: Burundi: The Search for Constitutional Peace</t>
  </si>
  <si>
    <t xml:space="preserve">https://doi.org/10.5064/F6AZRVZI</t>
  </si>
  <si>
    <t xml:space="preserve">Data for: The Constituent Process in Ecuador</t>
  </si>
  <si>
    <t xml:space="preserve">https://doi.org/10.5064/F6WZUAYU</t>
  </si>
  <si>
    <t xml:space="preserve">Data for: Child Support Adjudication: New York, California and Florida, 2015-2019</t>
  </si>
  <si>
    <t xml:space="preserve">https://doi.org/10.5064/F6AQGERV</t>
  </si>
  <si>
    <t xml:space="preserve">Data for: From Bombs to Books, and Back Again? Mapping Strategies of Right-Wing Revolutionary Resistance</t>
  </si>
  <si>
    <t xml:space="preserve">https://doi.org/10.5064/F6AC1QAF</t>
  </si>
  <si>
    <t xml:space="preserve">Data for: Makers of Our Own History: Upholding the Revolution and Unsettling Coloniality in the Drafting of Tunisia’s 2014 Constitution</t>
  </si>
  <si>
    <t xml:space="preserve">https://doi.org/10.5064/F6TUWMUT</t>
  </si>
  <si>
    <t xml:space="preserve">Data for: The Ratification Premium: Hawks, Doves, and Arms Control</t>
  </si>
  <si>
    <t xml:space="preserve">https://doi.org/10.5064/F6KMEDVB</t>
  </si>
  <si>
    <t xml:space="preserve">Data for: Understanding Poverty, Food Insecurity, and Social Determinants’ Impact on Health Conditions: A Reflective, Experiential Approach for Medical Students</t>
  </si>
  <si>
    <t xml:space="preserve">https://doi.org/10.5064/F65U77YU</t>
  </si>
  <si>
    <t xml:space="preserve">French Cold War Documents</t>
  </si>
  <si>
    <t xml:space="preserve">https://doi.org/10.5064/F6CSTPY3</t>
  </si>
  <si>
    <t xml:space="preserve">British Cold War Documents</t>
  </si>
  <si>
    <t xml:space="preserve">https://doi.org/10.5064/F64NRC1B</t>
  </si>
  <si>
    <t xml:space="preserve">Data for: Kosovo’s Independence Constitution: A Unilateral Commitment to an Internationalized Pouvoir Constituant</t>
  </si>
  <si>
    <t xml:space="preserve">https://doi.org/10.5064/F6CIKQNF</t>
  </si>
  <si>
    <t xml:space="preserve">Data for: The Territorial Expansion of the Colonial State: Evidence from German East Africa 1890–1909</t>
  </si>
  <si>
    <t xml:space="preserve">https://doi.org/10.5064/F6IOUEY2</t>
  </si>
  <si>
    <t xml:space="preserve">Data for: Defending hierarchy from the Moon to the Indian Ocean: Symbolic capital and political dominance in early modern China and the Cold War</t>
  </si>
  <si>
    <t xml:space="preserve">https://doi.org/10.5064/F6NNOI5C</t>
  </si>
  <si>
    <t xml:space="preserve">Replication Data for: Inconsistency and Indecision in the United States Supreme Court</t>
  </si>
  <si>
    <t xml:space="preserve">https://doi.org/10.5064/F6W7QRSX</t>
  </si>
  <si>
    <t xml:space="preserve">Data for: Shifting Legal Visions: Judicial Change and Human Rights Trials in Latin America</t>
  </si>
  <si>
    <t xml:space="preserve">https://doi.org/10.5064/F6PHDAOA</t>
  </si>
  <si>
    <t xml:space="preserve">A Constructed Peace: Appendices</t>
  </si>
  <si>
    <t xml:space="preserve">https://doi.org/10.5064/F6B9CGIV</t>
  </si>
  <si>
    <t xml:space="preserve">Data for: Development of a Preoperative Questionnaire to Improve Satisfaction with Hallux Valgus Repair: a Delphi Study</t>
  </si>
  <si>
    <t xml:space="preserve">https://doi.org/10.5064/F6IJHYLR</t>
  </si>
  <si>
    <t xml:space="preserve">United States Cold War Documents</t>
  </si>
  <si>
    <t xml:space="preserve">https://doi.org/10.5064/F6T3PFTW</t>
  </si>
  <si>
    <t xml:space="preserve">Data for: Authoritarian Apprehensions: Ideology, Judgment, and Mourning in Syria</t>
  </si>
  <si>
    <t xml:space="preserve">https://doi.org/10.5064/F63776W4</t>
  </si>
  <si>
    <t xml:space="preserve">Health-related Behavioural Changes During the COVID-19 pandemic. A Comparison between Cohorts of French and Italian University Students</t>
  </si>
  <si>
    <t xml:space="preserve">https://doi.org/10.5064/F6472XEL</t>
  </si>
  <si>
    <t xml:space="preserve">Data for: “Elite preferences, administrative institutions, and educational development during Peru’s aristocratic republic (1895–1919),” in: State and nation making in Latin America and Spain: Republics of the possible</t>
  </si>
  <si>
    <t xml:space="preserve">https://doi.org/10.5064/F6NP22C9</t>
  </si>
  <si>
    <t xml:space="preserve">Data for: When do the dispossessed protest? Informal leadership and mobilization in Syrian refugee camps</t>
  </si>
  <si>
    <t xml:space="preserve">https://doi.org/10.5064/F6CN723S</t>
  </si>
  <si>
    <t xml:space="preserve">The Deterrence Project</t>
  </si>
  <si>
    <t xml:space="preserve">https://doi.org/10.5064/F6AJE0NP</t>
  </si>
  <si>
    <t xml:space="preserve">Data for: Monte Carlo approach to fuzzy AHP risk analysis in renewable energy construction projects</t>
  </si>
  <si>
    <t xml:space="preserve">https://doi.org/10.5064/F6RKKLAD</t>
  </si>
  <si>
    <t xml:space="preserve">02</t>
  </si>
  <si>
    <t xml:space="preserve">Forestry and logging</t>
  </si>
  <si>
    <t xml:space="preserve">Data for: “Pivotal deterrence and the chain gang: Sir Edward Grey’s ambiguous policy and the July Crisis,” in: Pivotal deterrence: Third-party statecraft and the pursuit of peace</t>
  </si>
  <si>
    <t xml:space="preserve">https://doi.org/10.5064/F6G44N6S</t>
  </si>
  <si>
    <t xml:space="preserve">file_id</t>
  </si>
  <si>
    <t xml:space="preserve">project_title</t>
  </si>
  <si>
    <t xml:space="preserve">file_name</t>
  </si>
  <si>
    <t xml:space="preserve">file_type</t>
  </si>
  <si>
    <t xml:space="preserve">Micatka_AHPAS_SurveyInstrument.pdf</t>
  </si>
  <si>
    <t xml:space="preserve">pdf</t>
  </si>
  <si>
    <t xml:space="preserve">Micatka_DataNarrative.pdf</t>
  </si>
  <si>
    <t xml:space="preserve">Micatka_InformationSheet_FocusGroup.pdf</t>
  </si>
  <si>
    <t xml:space="preserve">Micatka_InformationSheet_Interviews.pdf</t>
  </si>
  <si>
    <t xml:space="preserve">Micatka_InformationSheet_Questionnaire.pdf</t>
  </si>
  <si>
    <t xml:space="preserve">Micatka_InterviewInstrument_Poverty_Round3.pdf</t>
  </si>
  <si>
    <t xml:space="preserve">Micatka_InterviewInstrument_Round1_Round2.pdf</t>
  </si>
  <si>
    <t xml:space="preserve">Micatka_InterviewInstrument_Welfare_Round3.pdf</t>
  </si>
  <si>
    <t xml:space="preserve">Micatka_InterviewQuestionnaire_Round1.pdf</t>
  </si>
  <si>
    <t xml:space="preserve">Micatka_InterviewQuestionnaire_Round2.pdf</t>
  </si>
  <si>
    <t xml:space="preserve">Micatka_QualitativeProcedure_Details.pdf</t>
  </si>
  <si>
    <t xml:space="preserve">README_Micatka.txt</t>
  </si>
  <si>
    <t xml:space="preserve">txt</t>
  </si>
  <si>
    <t xml:space="preserve">Mannheimer_BSR_Interview_Guide.pdf</t>
  </si>
  <si>
    <t xml:space="preserve">Mannheimer_Codebook.pdf</t>
  </si>
  <si>
    <t xml:space="preserve">58</t>
  </si>
  <si>
    <t xml:space="preserve">Publishing activities</t>
  </si>
  <si>
    <t xml:space="preserve">Mannheimer_Consent_V1.pdf</t>
  </si>
  <si>
    <t xml:space="preserve">Mannheimer_Consent_V2.pdf</t>
  </si>
  <si>
    <t xml:space="preserve">Mannheimer_DC_Interview_Guide.pdf</t>
  </si>
  <si>
    <t xml:space="preserve">Mannheimer_DataNarrative.pdf</t>
  </si>
  <si>
    <t xml:space="preserve">Mannheimer_Emails_to_Participants.pdf</t>
  </si>
  <si>
    <t xml:space="preserve">Mannheimer_IRB-Exempt_Application.pdf</t>
  </si>
  <si>
    <t xml:space="preserve">Mannheimer_Interview_Dates_Lengths.pdf</t>
  </si>
  <si>
    <t xml:space="preserve">Mannheimer_QR_Interview_Guide.pdf</t>
  </si>
  <si>
    <t xml:space="preserve">README_Mannheimer.txt</t>
  </si>
  <si>
    <t xml:space="preserve">README_Chang.txt</t>
  </si>
  <si>
    <t xml:space="preserve">Furlong-et-al_Codebook.pdf</t>
  </si>
  <si>
    <t xml:space="preserve">Furlong-et-al_ConsentForm_Instructors.pdf</t>
  </si>
  <si>
    <t xml:space="preserve">Furlong-et-al_ConsentForm_Students.pdf</t>
  </si>
  <si>
    <t xml:space="preserve">Furlong-et-al_DataNarrative.pdf</t>
  </si>
  <si>
    <t xml:space="preserve">Furlong-et-al_InterviewGuide_Students.pdf</t>
  </si>
  <si>
    <t xml:space="preserve">Furlong-et-al_InterviewQuestionnaire_InstructorsPostInterview.pdf</t>
  </si>
  <si>
    <t xml:space="preserve">Furlong-et-al_InterviewQuestionnaire_InstructorsPreInterview.pdf</t>
  </si>
  <si>
    <t xml:space="preserve">README_Furlong-et-al.txt</t>
  </si>
  <si>
    <t xml:space="preserve">README_VandeVusse-Mueller.txt</t>
  </si>
  <si>
    <t xml:space="preserve">VandeVusse-Mueller_CognitiveInterviewConsentForm.pdf</t>
  </si>
  <si>
    <t xml:space="preserve">VandeVusse-Mueller_DataSharingCodingScheme.tab</t>
  </si>
  <si>
    <t xml:space="preserve">tab</t>
  </si>
  <si>
    <t xml:space="preserve">VandeVusse-Mueller_DataSharingOverviewMethods.pdf</t>
  </si>
  <si>
    <t xml:space="preserve">README_Yakubu.txt</t>
  </si>
  <si>
    <t xml:space="preserve">Yakubu_ConsentScript.pdf</t>
  </si>
  <si>
    <t xml:space="preserve">Yakubu_DataNarrative.pdf</t>
  </si>
  <si>
    <t xml:space="preserve">Yakubu_EthicsApproval.pdf</t>
  </si>
  <si>
    <t xml:space="preserve">Yakubu_Questionaire.pdf</t>
  </si>
  <si>
    <t xml:space="preserve">Kirilova_WSRD_Consent Form_Interviews.pdf</t>
  </si>
  <si>
    <t xml:space="preserve">Kirilova_WSRD_Data_Narrative.pdf</t>
  </si>
  <si>
    <t xml:space="preserve">Kirilova_WSRD_Interview_and_FG_Questions.pdf</t>
  </si>
  <si>
    <t xml:space="preserve">Kirilova_WSRD_List_of_Acronyms.pdf</t>
  </si>
  <si>
    <t xml:space="preserve">Kirilova_WSRD_Recruitment_Email.pdf</t>
  </si>
  <si>
    <t xml:space="preserve">README_Kirilova.txt</t>
  </si>
  <si>
    <t xml:space="preserve">Fleming_DataNarrative.pdf</t>
  </si>
  <si>
    <t xml:space="preserve">Fleming_UpdatedConsentForm.pdf</t>
  </si>
  <si>
    <t xml:space="preserve">README_Fleming.txt</t>
  </si>
  <si>
    <t xml:space="preserve">Awasthi_InformationSheet_and_ConsentForm.pdf</t>
  </si>
  <si>
    <t xml:space="preserve">README_Awasthi.txt</t>
  </si>
  <si>
    <t xml:space="preserve">Harrison_COMBMethods.pdf</t>
  </si>
  <si>
    <t xml:space="preserve">Harrison_Codebook.pdf</t>
  </si>
  <si>
    <t xml:space="preserve">Harrison_ConceptualModel.pdf</t>
  </si>
  <si>
    <t xml:space="preserve">Harrison_Glossary.pdf</t>
  </si>
  <si>
    <t xml:space="preserve">Harrison_HospiceInformedConsent.pdf</t>
  </si>
  <si>
    <t xml:space="preserve">Harrison_InterviewGuide_Clinicians.pdf</t>
  </si>
  <si>
    <t xml:space="preserve">Harrison_InterviewGuide_Leaders.pdf</t>
  </si>
  <si>
    <t xml:space="preserve">Harrison_InterviewGuide_QualityImprovementAdministrators.pdf</t>
  </si>
  <si>
    <t xml:space="preserve">README_Harrison.txt</t>
  </si>
  <si>
    <t xml:space="preserve">README_Hampanda.txt</t>
  </si>
  <si>
    <t xml:space="preserve">README_Steinberg-et-al.txt</t>
  </si>
  <si>
    <t xml:space="preserve">Steinberg-et-al_Consent_Form.pdf</t>
  </si>
  <si>
    <t xml:space="preserve">Steinberg-et-al_DataNarrative.pdf</t>
  </si>
  <si>
    <t xml:space="preserve">Steinberg-et-al_FF_Codebook.pdf</t>
  </si>
  <si>
    <t xml:space="preserve">Steinberg-et-al_Interview_Questionnaire.pdf</t>
  </si>
  <si>
    <t xml:space="preserve">Matos-et-al QualitativeLatinxMSMStudy_VerbalConsentSPANISH.pdf</t>
  </si>
  <si>
    <t xml:space="preserve">Matos-et-al_DataNarrative.pdf</t>
  </si>
  <si>
    <t xml:space="preserve">Matos-et-al_QualitativeLatinxMSMStudy_VerbalConsentENGLISH.pdf</t>
  </si>
  <si>
    <t xml:space="preserve">Matos-et-al_SemiStructuredInterviewGuideENGLISH.pdf</t>
  </si>
  <si>
    <t xml:space="preserve">Matos-et-al_SemiStructuredInterviewGuideSPANISH.pdf</t>
  </si>
  <si>
    <t xml:space="preserve">README_Matos-etal.txt</t>
  </si>
  <si>
    <t xml:space="preserve">Ingram_DataNarrative.pdf</t>
  </si>
  <si>
    <t xml:space="preserve">Ingram_INFORMED_CONSENT.pdf</t>
  </si>
  <si>
    <t xml:space="preserve">Ingram_INTERVIEW_GUIDE.pdf</t>
  </si>
  <si>
    <t xml:space="preserve">README_Ingram.txt</t>
  </si>
  <si>
    <t xml:space="preserve">README_Zhou_Gu.txt</t>
  </si>
  <si>
    <t xml:space="preserve">Zhou_Gu_DataNarrative.pdf</t>
  </si>
  <si>
    <t xml:space="preserve">Zhou_Gu_InterviewGuide.pdf</t>
  </si>
  <si>
    <t xml:space="preserve">62</t>
  </si>
  <si>
    <t xml:space="preserve">Computer programming, consultancy and related activities</t>
  </si>
  <si>
    <t xml:space="preserve">README_Shuman.txt</t>
  </si>
  <si>
    <t xml:space="preserve">Shuman_Data-Narrative.pdf</t>
  </si>
  <si>
    <t xml:space="preserve">Shuman_InterviewQuestions_20181217_SH.pdf</t>
  </si>
  <si>
    <t xml:space="preserve">Hahn-Goldberg_Caregiving_Follow up patient interview guide.pdf</t>
  </si>
  <si>
    <t xml:space="preserve">README_Hahn-Goldberg.txt</t>
  </si>
  <si>
    <t xml:space="preserve">Annotations.json</t>
  </si>
  <si>
    <t xml:space="preserve">json</t>
  </si>
  <si>
    <t xml:space="preserve">Moorlock_ATI Data Overview.pdf</t>
  </si>
  <si>
    <t xml:space="preserve">README_Saberi.txt</t>
  </si>
  <si>
    <t xml:space="preserve">Saberi_Acronym List.pdf</t>
  </si>
  <si>
    <t xml:space="preserve">Saberi_Information Sheet PrEP-OI.pdf</t>
  </si>
  <si>
    <t xml:space="preserve">Saberi_Outcome_Letter_6-10-20.pdf</t>
  </si>
  <si>
    <t xml:space="preserve">Saberi_Questionnaire.pdf</t>
  </si>
  <si>
    <t xml:space="preserve">0_README_Joarder.txt</t>
  </si>
  <si>
    <t xml:space="preserve">Joarder_Ethical Review Board_ Approval Letter_DOCUMENTATION.pdf</t>
  </si>
  <si>
    <t xml:space="preserve">Joarder_Written consent form for IDI of providers_Bengali_21Jun14_DOCUMENTATION.pdf</t>
  </si>
  <si>
    <t xml:space="preserve">Joarder_Written consent form for IDI of providers_English_17Jun14_DOCUMENTATION.pdf</t>
  </si>
  <si>
    <t xml:space="preserve">Joarder_Written consent form for PO of provider_Bengali_21Jun14_DOCUMENTATION.pdf</t>
  </si>
  <si>
    <t xml:space="preserve">Joarder_Written consent form for PO of provider_English_17Jun14_DOCUMENTATION.pdf</t>
  </si>
  <si>
    <t xml:space="preserve">Posner-Quaglia_DataNarrative.pdf</t>
  </si>
  <si>
    <t xml:space="preserve">README_Posner-Quaglia.txt</t>
  </si>
  <si>
    <t xml:space="preserve">README_Virbel-Fleischman.txt</t>
  </si>
  <si>
    <t xml:space="preserve">Virbel-Fleischman_Informed_Consent_Script.pdf</t>
  </si>
  <si>
    <t xml:space="preserve">Virbel-Fleischman_Interview_Guide_English.pdf</t>
  </si>
  <si>
    <t xml:space="preserve">Virbel-Fleischman_Interview_Guide_French.pdf</t>
  </si>
  <si>
    <t xml:space="preserve">80</t>
  </si>
  <si>
    <t xml:space="preserve">Investigation and security activities</t>
  </si>
  <si>
    <t xml:space="preserve">README_Zuber-et-al.txt</t>
  </si>
  <si>
    <t xml:space="preserve">Zuber-et-al_ FOCUS_GROUP_GUIDE _Outpatient.pdf</t>
  </si>
  <si>
    <t xml:space="preserve">Zuber-et-al_ FOCUS_GROUP_GUIDE_Consumer.pdf</t>
  </si>
  <si>
    <t xml:space="preserve">Zuber-et-al_ FOCUS_GROUP_GUIDE_Frontline Worker.pdf</t>
  </si>
  <si>
    <t xml:space="preserve">Zuber-et-al_ FOCUS_GROUP_GUIDE_Harm Reduction.pdf</t>
  </si>
  <si>
    <t xml:space="preserve">Zuber-et-al_ FOCUS_GROUP_GUIDE_Opioid_Treatment.pdf</t>
  </si>
  <si>
    <t xml:space="preserve">Zuber-et-al_ FOCUS_GROUP_GUIDE_Prevention.pdf</t>
  </si>
  <si>
    <t xml:space="preserve">Zuber-et-al_ FOCUS_GROUP_GUIDE_Recovery.pdf</t>
  </si>
  <si>
    <t xml:space="preserve">Zuber-et-al_ FOCUS_GROUP_GUIDE_Residential.pdf</t>
  </si>
  <si>
    <t xml:space="preserve">Zuber-et-al_DATA_CODING_AND_ANALYSIS.pdf</t>
  </si>
  <si>
    <t xml:space="preserve">Zuber-et-al_DataNarrative.pdf</t>
  </si>
  <si>
    <t xml:space="preserve">Zuber-et-al_FINAL_REPORT.pdf</t>
  </si>
  <si>
    <t xml:space="preserve">Zuber-et-al_FOCUS_GROUP_GUIDE_Business.pdf</t>
  </si>
  <si>
    <t xml:space="preserve">Zuber-et-al_INDIVIDUAL_INTERVIEW_GUIDE.pdf</t>
  </si>
  <si>
    <t xml:space="preserve">Zuber-et-al_INFORMED_CONSENT_New_Paltz.pdf</t>
  </si>
  <si>
    <t xml:space="preserve">Zuber-et-al_RECRUITMENT_NOTICE.pdf</t>
  </si>
  <si>
    <t xml:space="preserve">Zuber-et-al_RESEARCH_PLAN_with_NYASAP_2020.pdf</t>
  </si>
  <si>
    <t xml:space="preserve">Mahr_Consent_Form_(PLM_Interviews).pdf</t>
  </si>
  <si>
    <t xml:space="preserve">Mahr_DataNarrative.pdf</t>
  </si>
  <si>
    <t xml:space="preserve">Mahr_Thematic_Codebook_(PLM_Interviews).pdf</t>
  </si>
  <si>
    <t xml:space="preserve">README_Mahr.txt</t>
  </si>
  <si>
    <t xml:space="preserve">README_Salvador.txt</t>
  </si>
  <si>
    <t xml:space="preserve">Salvador_DataNarrative.pdf</t>
  </si>
  <si>
    <t xml:space="preserve">Salvador_RESPONDENT_BREAKDOWN_BY_STATE.pdf</t>
  </si>
  <si>
    <t xml:space="preserve">Salvador_SURVEY_INVITATION_AND_CONSENT.pdf</t>
  </si>
  <si>
    <t xml:space="preserve">Ibitoye-et-al_CognitiveInterviews_Guide.pdf</t>
  </si>
  <si>
    <t xml:space="preserve">Ibitoye-et-al_CognitiveInterviews_InformedConsent.pdf</t>
  </si>
  <si>
    <t xml:space="preserve">Ibitoye-et-al_CognitiveInterviews_SampleCharacteristics.pdf</t>
  </si>
  <si>
    <t xml:space="preserve">Ibitoye-et-al_CoupleInterviews_Guide.pdf</t>
  </si>
  <si>
    <t xml:space="preserve">Ibitoye-et-al_IndividualAndCoupleInterviews_InformedConsent.pdf</t>
  </si>
  <si>
    <t xml:space="preserve">Ibitoye-et-al_IndividualAndCoupleInterviews_SampleCharacteristics.pdf</t>
  </si>
  <si>
    <t xml:space="preserve">Ibitoye-et-al_IndividualInterviews_Guide.pdf</t>
  </si>
  <si>
    <t xml:space="preserve">README_Ibitoye-etal.txt</t>
  </si>
  <si>
    <t xml:space="preserve">Fosher_USMC-TRG-Resilience-Annotated-Bibliographies-combined.pdf</t>
  </si>
  <si>
    <t xml:space="preserve">Fosher_USMC-TRG-Resilience-Applied-Materials.pdf</t>
  </si>
  <si>
    <t xml:space="preserve">Fosher_USMC-TRG-Resilience-CAOCL-TECOM-RESILIENCE-FINAL-REPORT-21-Aug-2013.pdf</t>
  </si>
  <si>
    <t xml:space="preserve">Fosher_USMC-TRG-Resilience-Data-Narrative-22Jun2020b.pdf</t>
  </si>
  <si>
    <t xml:space="preserve">Fosher_USMC-TRG-Resilience-IRB-Documents-29Jun2020.pdf</t>
  </si>
  <si>
    <t xml:space="preserve">Fosher_USMCU-TRG-Resilience-Project-Overview-22Jun2020a.pdf</t>
  </si>
  <si>
    <t xml:space="preserve">README_Fosher.txt</t>
  </si>
  <si>
    <t xml:space="preserve">McIntosh_ InterviewGuide_CIO.pdf</t>
  </si>
  <si>
    <t xml:space="preserve">McIntosh_ InterviewGuide_NET.pdf</t>
  </si>
  <si>
    <t xml:space="preserve">McIntosh_ InterviewGuide_PAT.pdf</t>
  </si>
  <si>
    <t xml:space="preserve">McIntosh_ InterviewGuide_RIO.pdf</t>
  </si>
  <si>
    <t xml:space="preserve">McIntosh_ InterviewInformationSlidesWithScript_PAT.pdf</t>
  </si>
  <si>
    <t xml:space="preserve">McIntosh_ SurveyQuestionnaire_CIO&amp;RIO.pdf</t>
  </si>
  <si>
    <t xml:space="preserve">McIntosh_ SurveyQuestionnaire_NET.pdf</t>
  </si>
  <si>
    <t xml:space="preserve">McIntosh_ SurveyQuestionnaire_PAT.pdf</t>
  </si>
  <si>
    <t xml:space="preserve">McIntosh_ Survey_CLN&amp;SCI.pdf</t>
  </si>
  <si>
    <t xml:space="preserve">McIntosh_ Survey_IND.pdf</t>
  </si>
  <si>
    <t xml:space="preserve">McIntosh_DataNarrative.pdf</t>
  </si>
  <si>
    <t xml:space="preserve">McIntosh_IRB_ConsentInfoSheet_AllGroupsExcept_PAT.pdf</t>
  </si>
  <si>
    <t xml:space="preserve">McIntosh_IRB_ConsentInfoSheet_PAT.pdf</t>
  </si>
  <si>
    <t xml:space="preserve">McIntosh_Interview Codebook_CLN.pdf</t>
  </si>
  <si>
    <t xml:space="preserve">McIntosh_Interview Codebook_IND.pdf</t>
  </si>
  <si>
    <t xml:space="preserve">McIntosh_Interview Codebook_SCI.pdf</t>
  </si>
  <si>
    <t xml:space="preserve">McIntosh_Interview Guide_CLN.pdf</t>
  </si>
  <si>
    <t xml:space="preserve">McIntosh_Interview Guide_IND.pdf</t>
  </si>
  <si>
    <t xml:space="preserve">McIntosh_Interview Guide_SCI.pdf</t>
  </si>
  <si>
    <t xml:space="preserve">McIntosh_InterviewCodebook_CIO&amp;RIO.pdf</t>
  </si>
  <si>
    <t xml:space="preserve">McIntosh_InterviewCodebook_NET.pdf</t>
  </si>
  <si>
    <t xml:space="preserve">McIntosh_InterviewCodebook_PAT.pdf</t>
  </si>
  <si>
    <t xml:space="preserve">README_McIntosh.txt</t>
  </si>
  <si>
    <t xml:space="preserve">Hegarty_IncludedWorks.tab</t>
  </si>
  <si>
    <t xml:space="preserve">Hegarty_QDA-Project_NVivo.nvp</t>
  </si>
  <si>
    <t xml:space="preserve">nvp</t>
  </si>
  <si>
    <t xml:space="preserve">NO_TEXT_CONTENT</t>
  </si>
  <si>
    <t xml:space="preserve">Hegarty_QDA-Project_REFI-QDA-Exchange.qdpx</t>
  </si>
  <si>
    <t xml:space="preserve">qdpx</t>
  </si>
  <si>
    <t xml:space="preserve">README_Hegarty.txt</t>
  </si>
  <si>
    <t xml:space="preserve">Boyer_CodingScheme.pdf</t>
  </si>
  <si>
    <t xml:space="preserve">52</t>
  </si>
  <si>
    <t xml:space="preserve">Warehousing and support activities for transportation</t>
  </si>
  <si>
    <t xml:space="preserve">Boyer_Covid19Contracting.pdf</t>
  </si>
  <si>
    <t xml:space="preserve">Boyer_DataNarrative.pdf</t>
  </si>
  <si>
    <t xml:space="preserve">Boyer_HGPIIReport.pdf</t>
  </si>
  <si>
    <t xml:space="preserve">Boyer_InterviewProtocol.pdf</t>
  </si>
  <si>
    <t xml:space="preserve">Boyer_StudyInformationSheet.pdf</t>
  </si>
  <si>
    <t xml:space="preserve">README_Boyer.txt</t>
  </si>
  <si>
    <t xml:space="preserve">Biszaha_Codebook.pdf</t>
  </si>
  <si>
    <t xml:space="preserve">Biszaha_DataNarrative.pdf</t>
  </si>
  <si>
    <t xml:space="preserve">Biszaha_Informed-Consent.pdf</t>
  </si>
  <si>
    <t xml:space="preserve">Biszaha_Interview-Script.pdf</t>
  </si>
  <si>
    <t xml:space="preserve">README_Biszaha.txt</t>
  </si>
  <si>
    <t xml:space="preserve">Dodgers_Consent_Form.pdf</t>
  </si>
  <si>
    <t xml:space="preserve">Dodgers_DataNarrative.pdf</t>
  </si>
  <si>
    <t xml:space="preserve">README_Dodgers.txt</t>
  </si>
  <si>
    <t xml:space="preserve">Dodgers_ConsentForm_Parent.pdf</t>
  </si>
  <si>
    <t xml:space="preserve">Dodgers_ConsentForm_Student.pdf</t>
  </si>
  <si>
    <t xml:space="preserve">Dodgers_DebriefLetter_Parent.pdf</t>
  </si>
  <si>
    <t xml:space="preserve">Dodgers_DebriefLetter_Student.pdf</t>
  </si>
  <si>
    <t xml:space="preserve">Jasmine_DataNarrative.pdf</t>
  </si>
  <si>
    <t xml:space="preserve">Jasmine_ProtectiveParenting_InformedConsent_Bengali.pdf</t>
  </si>
  <si>
    <t xml:space="preserve">Jasmine_ProtectiveParenting_InformedConsent_English.pdf</t>
  </si>
  <si>
    <t xml:space="preserve">Jasmine_ProtectiveParenting_Questionnaire.pdf</t>
  </si>
  <si>
    <t xml:space="preserve">README_Jasmine.txt</t>
  </si>
  <si>
    <t xml:space="preserve">0_README_Johnson.txt</t>
  </si>
  <si>
    <t xml:space="preserve">Johnson, Burns, and Porth, A Question of Respect_Coding Scheme_26 April 2017_DOCUMENTATION.pdf</t>
  </si>
  <si>
    <t xml:space="preserve">Johnson_Data Narrative_DOCUMENTATION.pdf</t>
  </si>
  <si>
    <t xml:space="preserve">Furuno_InterviewGuidePCRCPilot.pdf</t>
  </si>
  <si>
    <t xml:space="preserve">README_Furuno.txt</t>
  </si>
  <si>
    <t xml:space="preserve">README_Webster.txt</t>
  </si>
  <si>
    <t xml:space="preserve">Webster_Codebook.xlsx</t>
  </si>
  <si>
    <t xml:space="preserve">xlsx</t>
  </si>
  <si>
    <t xml:space="preserve">Webster_DataNarrative.pdf</t>
  </si>
  <si>
    <t xml:space="preserve">Webster_SurveyQuestionnaire.pdf</t>
  </si>
  <si>
    <t xml:space="preserve">README_Reb.txt</t>
  </si>
  <si>
    <t xml:space="preserve">Reb_InterviewGuide_20190227.pdf</t>
  </si>
  <si>
    <t xml:space="preserve">0_README_Gusdal.txt</t>
  </si>
  <si>
    <t xml:space="preserve">Gusdal_Deidentified_Information letter and informed consent_DOCUMENTATION.pdf</t>
  </si>
  <si>
    <t xml:space="preserve">Gusdal_FGI guide_0_DOCUMENTATION.pdf</t>
  </si>
  <si>
    <t xml:space="preserve">README_Vedanthan.txt</t>
  </si>
  <si>
    <t xml:space="preserve">Vedanthan_BIGPIC Informed consent form Baraza_20141218.pdf</t>
  </si>
  <si>
    <t xml:space="preserve">Vedanthan_BIGPIC Informed consent form_FGDs_20141218.pdf</t>
  </si>
  <si>
    <t xml:space="preserve">Vedanthan_Data Narrative.pdf</t>
  </si>
  <si>
    <t xml:space="preserve">Fosher_Enlisted-Education-Project-Overview22Jun2020.pdf</t>
  </si>
  <si>
    <t xml:space="preserve">Fosher_USMC-TRG-SNCO-Data-Narrative-22Jun2020.pdf</t>
  </si>
  <si>
    <t xml:space="preserve">Fosher_USMC-TRG-SNCO-IRB-Documents-29Jun2020.pdf</t>
  </si>
  <si>
    <t xml:space="preserve">Fosher_USMC-TRG-SNCO-Report-2012.pdf</t>
  </si>
  <si>
    <t xml:space="preserve">Readme_Lalla.txt</t>
  </si>
  <si>
    <t xml:space="preserve">README_Silan-Ciruelas.txt</t>
  </si>
  <si>
    <t xml:space="preserve">Silan-Ciruelas_DataNarrative.pdf</t>
  </si>
  <si>
    <t xml:space="preserve">Silan-Ciruelas_DemographicDetails.tab</t>
  </si>
  <si>
    <t xml:space="preserve">Silan-Ciruelas_InformedConsent-DataNotice.pdf</t>
  </si>
  <si>
    <t xml:space="preserve">Silan-Ciruelas_InterviewGuide-SamplingScheme.pdf</t>
  </si>
  <si>
    <t xml:space="preserve">Silan-Ciruelas_ManyQuali_Collaborators.xlsx</t>
  </si>
  <si>
    <t xml:space="preserve">Silan-Ciruelas_PublicCodebook.xlsx</t>
  </si>
  <si>
    <t xml:space="preserve">Silan-Ciruelas_Redaction Protocols.pdf</t>
  </si>
  <si>
    <t xml:space="preserve">McGovern_Advertisement.pdf</t>
  </si>
  <si>
    <t xml:space="preserve">McGovern_Debriefing-Sheet.pdf</t>
  </si>
  <si>
    <t xml:space="preserve">McGovern_Interview-Schedule.pdf</t>
  </si>
  <si>
    <t xml:space="preserve">README_McGovern.txt</t>
  </si>
  <si>
    <t xml:space="preserve">PedriannaStryker_ATI Data Overview.pdf</t>
  </si>
  <si>
    <t xml:space="preserve">README_PedriannaStryker.txt</t>
  </si>
  <si>
    <t xml:space="preserve">README_Turk.txt</t>
  </si>
  <si>
    <t xml:space="preserve">Turk_DataNarrative.pdf</t>
  </si>
  <si>
    <t xml:space="preserve">Turk_FGD_DiscussionGuide.pdf</t>
  </si>
  <si>
    <t xml:space="preserve">Turk_FGD_ParticipantList.pdf</t>
  </si>
  <si>
    <t xml:space="preserve">Turk_KII_DiscussionGuide.pdf</t>
  </si>
  <si>
    <t xml:space="preserve">Turk_KII_InformedConsentForm.pdf</t>
  </si>
  <si>
    <t xml:space="preserve">Turk_KII_List_Bangladesh.pdf</t>
  </si>
  <si>
    <t xml:space="preserve">Turk_KII_List_Pakistan.pdf</t>
  </si>
  <si>
    <t xml:space="preserve">Jones_Documentation_2011_FarmerInterviewQuestionnaire.pdf</t>
  </si>
  <si>
    <t xml:space="preserve">Jones_Documentation_2011_VillageFocusGroupQuestionnaire.pdf</t>
  </si>
  <si>
    <t xml:space="preserve">Jones_Documentation_2012_FarmerSeedBuyerQuestionnaire.pdf</t>
  </si>
  <si>
    <t xml:space="preserve">Jones_Documentation_2012_FarmerSeedReceiverQuestionnaire.pdf</t>
  </si>
  <si>
    <t xml:space="preserve">Jones_Documentation_2012_FarmerSeedTesterQuestionnaire.pdf</t>
  </si>
  <si>
    <t xml:space="preserve">Jones_Documentation_2012_VillageFocusGroupQuestionnaire.pdf</t>
  </si>
  <si>
    <t xml:space="preserve">Jones_Documentation_CropID_key.tab</t>
  </si>
  <si>
    <t xml:space="preserve">Jones_Documentation_MasterCodebook.pdf</t>
  </si>
  <si>
    <t xml:space="preserve">Jones_Documentation_RadioID_key.tab</t>
  </si>
  <si>
    <t xml:space="preserve">Jones_Documentation_ResearchEpistemologyOverview.pdf</t>
  </si>
  <si>
    <t xml:space="preserve">Jones_Documentation_ResearchMethodologyOverview.pdf</t>
  </si>
  <si>
    <t xml:space="preserve">Jones_Documentation_ResearchSettingOverview.pdf</t>
  </si>
  <si>
    <t xml:space="preserve">README_Jones.txt</t>
  </si>
  <si>
    <t xml:space="preserve">Hutchinson_Interview_Script.pdf</t>
  </si>
  <si>
    <t xml:space="preserve">Hutchinson_Recruitment_Text.pdf</t>
  </si>
  <si>
    <t xml:space="preserve">README_Hutchinson.txt</t>
  </si>
  <si>
    <t xml:space="preserve">Jennerich_IRBApproval.pdf</t>
  </si>
  <si>
    <t xml:space="preserve">Jennerich_InterviewGuide.pdf</t>
  </si>
  <si>
    <t xml:space="preserve">README_Jennerich.txt</t>
  </si>
  <si>
    <t xml:space="preserve">README_Sodre.txt</t>
  </si>
  <si>
    <t xml:space="preserve">Sodre_DataNarrative.pdf</t>
  </si>
  <si>
    <t xml:space="preserve">Sodre_Sample_Release_Form.pdf</t>
  </si>
  <si>
    <t xml:space="preserve">README_Valand.txt</t>
  </si>
  <si>
    <t xml:space="preserve">Valand_FGguide.pdf</t>
  </si>
  <si>
    <t xml:space="preserve">Valand_informed-consent.pdf</t>
  </si>
  <si>
    <t xml:space="preserve">0_README_Weller_Barnes.txt</t>
  </si>
  <si>
    <t xml:space="preserve">0_Weller_Barnes_Answer Key for FP Exercises.pdf</t>
  </si>
  <si>
    <t xml:space="preserve">0_Weller_Barnes_FP Exercises.pdf</t>
  </si>
  <si>
    <t xml:space="preserve">README_Ruedin-Murahwa.txt</t>
  </si>
  <si>
    <t xml:space="preserve">Ruedin-Murahwa_CharacteristicsOfRepresentativesInterviewed.pdf</t>
  </si>
  <si>
    <t xml:space="preserve">Ruedin-Murahwa_DataNarrative.pdf</t>
  </si>
  <si>
    <t xml:space="preserve">Ruedin-Murahwa_Ethics_Checklist.pdf</t>
  </si>
  <si>
    <t xml:space="preserve">Ruedin-Murahwa_PoliticalRepresentationPressures_InformedConsent.pdf</t>
  </si>
  <si>
    <t xml:space="preserve">Ruedin-Murahwa_PoliticalRepresentation_InterviewQuestionnaire.pdf</t>
  </si>
  <si>
    <t xml:space="preserve">Alvarez_DataNarrative.pdf</t>
  </si>
  <si>
    <t xml:space="preserve">Alvarez_InformedConsent.pdf</t>
  </si>
  <si>
    <t xml:space="preserve">Alvarez_InterviewQuestionnaire.pdf</t>
  </si>
  <si>
    <t xml:space="preserve">README_Alvarez.txt</t>
  </si>
  <si>
    <t xml:space="preserve">GansMorse_ATI Data Overview.pdf</t>
  </si>
  <si>
    <t xml:space="preserve">Bezabih-Smith_DataNarrative.pdf</t>
  </si>
  <si>
    <t xml:space="preserve">Bezabih-Smith_Exit_Survey_Questionnaire.pdf</t>
  </si>
  <si>
    <t xml:space="preserve">Bezabih-Smith_Interview_Script_And_Questions.pdf</t>
  </si>
  <si>
    <t xml:space="preserve">Bezabih-Smith_Screening_Survey_Questionnaire_And_Consent_Form.pdf</t>
  </si>
  <si>
    <t xml:space="preserve">Bezabih-Smith_Spiritual_Support_Definition_Card.pdf</t>
  </si>
  <si>
    <t xml:space="preserve">README_Bezabih-Smith.txt</t>
  </si>
  <si>
    <t xml:space="preserve">Miro_ConsentForm_Catalan.pdf</t>
  </si>
  <si>
    <t xml:space="preserve">Miro_ConsentForm_English.pdf</t>
  </si>
  <si>
    <t xml:space="preserve">Miro_DataNarrative.pdf</t>
  </si>
  <si>
    <t xml:space="preserve">Miro_InterviewGuide.pdf</t>
  </si>
  <si>
    <t xml:space="preserve">README_Miro.txt</t>
  </si>
  <si>
    <t xml:space="preserve">Mersha_DataNarrative.pdf</t>
  </si>
  <si>
    <t xml:space="preserve">Mersha_InformedConsent.pdf</t>
  </si>
  <si>
    <t xml:space="preserve">Mersha_KII_Questionnaire.pdf</t>
  </si>
  <si>
    <t xml:space="preserve">README_Mersha.txt</t>
  </si>
  <si>
    <t xml:space="preserve">Lambert_Codebook_AtlasEGS.xlsx</t>
  </si>
  <si>
    <t xml:space="preserve">Lambert_Consent_UK.pdf</t>
  </si>
  <si>
    <t xml:space="preserve">Lambert_Consent_US_experts.pdf</t>
  </si>
  <si>
    <t xml:space="preserve">Lambert_Consent_US_students.pdf</t>
  </si>
  <si>
    <t xml:space="preserve">Lambert_DataNarrative.pdf</t>
  </si>
  <si>
    <t xml:space="preserve">Lambert_EGSHandout.pdf</t>
  </si>
  <si>
    <t xml:space="preserve">Lambert_IRB_Amendment_2021.pdf</t>
  </si>
  <si>
    <t xml:space="preserve">Lambert_IRB_ExemptionConcurrence_2021.pdf</t>
  </si>
  <si>
    <t xml:space="preserve">Lambert_IRB_ExemptionNotice_2019.pdf</t>
  </si>
  <si>
    <t xml:space="preserve">Lambert_InterviewGuide_UK_Experts.pdf</t>
  </si>
  <si>
    <t xml:space="preserve">Lambert_InterviewGuide_US_Experts.pdf</t>
  </si>
  <si>
    <t xml:space="preserve">Lambert_InterviewGuide_US_Students.pdf</t>
  </si>
  <si>
    <t xml:space="preserve">README_Lambert.txt</t>
  </si>
  <si>
    <t xml:space="preserve">Lutz_Data_Narrative.pdf</t>
  </si>
  <si>
    <t xml:space="preserve">Lutz_Informed_Consent_Script.pdf</t>
  </si>
  <si>
    <t xml:space="preserve">Lutz_Interview_Questionnaire.pdf</t>
  </si>
  <si>
    <t xml:space="preserve">README_Lutz.txt</t>
  </si>
  <si>
    <t xml:space="preserve">0_Bleich_Interview Permissions.pdf</t>
  </si>
  <si>
    <t xml:space="preserve">0_Bleich_Interviews Methods Table.pdf</t>
  </si>
  <si>
    <t xml:space="preserve">0_README_Bleich.txt</t>
  </si>
  <si>
    <t xml:space="preserve">README_Spek-Vegt.txt</t>
  </si>
  <si>
    <t xml:space="preserve">Spek-Vegt_DataNarrative.pdf</t>
  </si>
  <si>
    <t xml:space="preserve">Spek-Vegt_InterviewQuestionnaire.pdf</t>
  </si>
  <si>
    <t xml:space="preserve">Aguessivognon_Data-Narrative.pdf</t>
  </si>
  <si>
    <t xml:space="preserve">Aguessivognon_Interview-Guide.pdf</t>
  </si>
  <si>
    <t xml:space="preserve">Aguessivognon_Sociodemographic-Data_Questionnaire.pdf</t>
  </si>
  <si>
    <t xml:space="preserve">README_Aguessivognon.txt</t>
  </si>
  <si>
    <t xml:space="preserve">Holland_HousingSurvey_English.pdf</t>
  </si>
  <si>
    <t xml:space="preserve">Holland_IRB.pdf</t>
  </si>
  <si>
    <t xml:space="preserve">Holland_VendingSurvey_English.pdf</t>
  </si>
  <si>
    <t xml:space="preserve">README_Holland.txt</t>
  </si>
  <si>
    <t xml:space="preserve">Holland-et-al_Data_Narrative.pdf</t>
  </si>
  <si>
    <t xml:space="preserve">69</t>
  </si>
  <si>
    <t xml:space="preserve">Legal and accounting activities</t>
  </si>
  <si>
    <t xml:space="preserve">Holland-et-al_FrequencyTable_Basin.tab</t>
  </si>
  <si>
    <t xml:space="preserve">Holland-et-al_FrequencyTable_Sector.tab</t>
  </si>
  <si>
    <t xml:space="preserve">Holland-et-al_Frequency_Challenges.tab</t>
  </si>
  <si>
    <t xml:space="preserve">Holland-et-al_Frequency_Feasibility.tab</t>
  </si>
  <si>
    <t xml:space="preserve">Holland-et-al_Frequency_Hydrology.tab</t>
  </si>
  <si>
    <t xml:space="preserve">Holland-et-al_Informed_Consent.pdf</t>
  </si>
  <si>
    <t xml:space="preserve">Holland-et-al_Interviews_Codebook.tab</t>
  </si>
  <si>
    <t xml:space="preserve">Holland-et-al_Interviews_Questionnaire.pdf</t>
  </si>
  <si>
    <t xml:space="preserve">Holland-et-al_Q10_WaterManagementChallenges_Graph.pdf</t>
  </si>
  <si>
    <t xml:space="preserve">Holland-et-al_Q11_WaterMonitoringChallenges_Graph.pdf</t>
  </si>
  <si>
    <t xml:space="preserve">Holland-et-al_Q12_WaterResilienceChallenges_Graph.pdf</t>
  </si>
  <si>
    <t xml:space="preserve">Holland-et-al_Q13_MetricUse_Graph.pdf</t>
  </si>
  <si>
    <t xml:space="preserve">Holland-et-al_Q14_MetricSatisfaction_Graph.pdf</t>
  </si>
  <si>
    <t xml:space="preserve">Holland-et-al_Q15_MetricInterest_Graph.pdf</t>
  </si>
  <si>
    <t xml:space="preserve">Holland-et-al_Q16_PlatformUse_Graph.pdf</t>
  </si>
  <si>
    <t xml:space="preserve">Holland-et-al_Q17_PlatformSatisfaction_Graph.pdf</t>
  </si>
  <si>
    <t xml:space="preserve">Holland-et-al_Q18_PlatformInterest_Graph.pdf</t>
  </si>
  <si>
    <t xml:space="preserve">Holland-et-al_Q19_TechUse_Graph.pdf</t>
  </si>
  <si>
    <t xml:space="preserve">Holland-et-al_Q20_TechSatisfaction_Graph.pdf</t>
  </si>
  <si>
    <t xml:space="preserve">Holland-et-al_Q21_TechInterest_Graph.pdf</t>
  </si>
  <si>
    <t xml:space="preserve">Holland-et-al_Q4_Sector_Graph.pdf</t>
  </si>
  <si>
    <t xml:space="preserve">Holland-et-al_Q5_SecondarySector_Graph.pdf</t>
  </si>
  <si>
    <t xml:space="preserve">Holland-et-al_Q6_Basin_Graph.pdf</t>
  </si>
  <si>
    <t xml:space="preserve">Holland-et-al_Q7_CropsLivestock_Graph.pdf</t>
  </si>
  <si>
    <t xml:space="preserve">Holland-et-al_Survey_Questionnaire.pdf</t>
  </si>
  <si>
    <t xml:space="preserve">Holland-et-al_Survey_Responses.tab</t>
  </si>
  <si>
    <t xml:space="preserve">README_Holland-et-al.txt</t>
  </si>
  <si>
    <t xml:space="preserve">README_Gueorguiev.txt</t>
  </si>
  <si>
    <t xml:space="preserve">0_O'Neill_Example of Word Frequency Query.jpg</t>
  </si>
  <si>
    <t xml:space="preserve">jpg</t>
  </si>
  <si>
    <t xml:space="preserve">O'Neill_Data Narrative.pdf</t>
  </si>
  <si>
    <t xml:space="preserve">O'Neill_Ethics application.pdf</t>
  </si>
  <si>
    <t xml:space="preserve">O'Neill_Ethics approval.pdf</t>
  </si>
  <si>
    <t xml:space="preserve">O'Neill_Example of Word tag bullying.pdf</t>
  </si>
  <si>
    <t xml:space="preserve">O'Neill_Example of Word tag on tired and sore.pdf</t>
  </si>
  <si>
    <t xml:space="preserve">O'Neill_Example of a manually abstracted transcript.pdf</t>
  </si>
  <si>
    <t xml:space="preserve">O'Neill_Interview schedules for athletes, parents and teachers.pdf</t>
  </si>
  <si>
    <t xml:space="preserve">O'Neill_Node Structure Report.pdf</t>
  </si>
  <si>
    <t xml:space="preserve">O'Neill_Node Summary Report.pdf</t>
  </si>
  <si>
    <t xml:space="preserve">O'Neill_Node pattern.pdf</t>
  </si>
  <si>
    <t xml:space="preserve">O'Neill_Participant Consent Forms.pdf</t>
  </si>
  <si>
    <t xml:space="preserve">O'Neill_Participant Group Demographics.pdf</t>
  </si>
  <si>
    <t xml:space="preserve">O'Neill_Participant Information Sheets.pdf</t>
  </si>
  <si>
    <t xml:space="preserve">O'Neill_Pattern Coding for PhD thesis.pdf</t>
  </si>
  <si>
    <t xml:space="preserve">README_O'Neill.txt</t>
  </si>
  <si>
    <t xml:space="preserve">Madrid_Data Narrative_DOCUMENTATION.pdf</t>
  </si>
  <si>
    <t xml:space="preserve">Madrid_IRB approval letter 2008.pdf</t>
  </si>
  <si>
    <t xml:space="preserve">Madrid_IRB short consent form (Spanish 2006).pdf</t>
  </si>
  <si>
    <t xml:space="preserve">README_Madrid.txt</t>
  </si>
  <si>
    <t xml:space="preserve">Hickner_Codes_Mapped_to_Themes_20220909.csv</t>
  </si>
  <si>
    <t xml:space="preserve">csv</t>
  </si>
  <si>
    <t xml:space="preserve">71</t>
  </si>
  <si>
    <t xml:space="preserve">Architectural and engineering activities; technical testing and analysis</t>
  </si>
  <si>
    <t xml:space="preserve">Hickner_Consent_Form.pdf</t>
  </si>
  <si>
    <t xml:space="preserve">Hickner_Data_Narrative.pdf</t>
  </si>
  <si>
    <t xml:space="preserve">Hickner_Interview_Guide.pdf</t>
  </si>
  <si>
    <t xml:space="preserve">Hickner_RecruitmentEmail.pdf</t>
  </si>
  <si>
    <t xml:space="preserve">Hickner_Study_Pre_Screening_Form.pdf</t>
  </si>
  <si>
    <t xml:space="preserve">README_Hickner.txt</t>
  </si>
  <si>
    <t xml:space="preserve">Flom-Post_Data_Preparation.pdf</t>
  </si>
  <si>
    <t xml:space="preserve">Flom-Post_IRB_Form_2011.pdf</t>
  </si>
  <si>
    <t xml:space="preserve">Flom-Post_IRB_Form_2014.pdf</t>
  </si>
  <si>
    <t xml:space="preserve">Flom-Post_Interview_Sampling_Procedures.pdf</t>
  </si>
  <si>
    <t xml:space="preserve">Flom-Post_Interview_Topic_Guide.pdf</t>
  </si>
  <si>
    <t xml:space="preserve">Flom-Post_Newspaper_Articles_Search_Criteria.pdf</t>
  </si>
  <si>
    <t xml:space="preserve">README_Flom-Post.txt</t>
  </si>
  <si>
    <t xml:space="preserve">Chea_DataNarrative.pdf</t>
  </si>
  <si>
    <t xml:space="preserve">Chea_InformedConsent_V0_20230525.pdf</t>
  </si>
  <si>
    <t xml:space="preserve">Chea_InterviewGuide.pdf</t>
  </si>
  <si>
    <t xml:space="preserve">Chea_SociodemographicForm_V0_20230525.pdf</t>
  </si>
  <si>
    <t xml:space="preserve">README_Chea.txt</t>
  </si>
  <si>
    <t xml:space="preserve">Gropper-et-al_Consent_Form.pdf</t>
  </si>
  <si>
    <t xml:space="preserve">Gropper-et-al_DataNarrative.pdf</t>
  </si>
  <si>
    <t xml:space="preserve">Gropper-et-al_Data_Privacy_Declaration.pdf</t>
  </si>
  <si>
    <t xml:space="preserve">Gropper-et-al_Interview_Guide.pdf</t>
  </si>
  <si>
    <t xml:space="preserve">93</t>
  </si>
  <si>
    <t xml:space="preserve">Sports activities and amusement and recreation activities</t>
  </si>
  <si>
    <t xml:space="preserve">Gropper-et-al_Study_Information.pdf</t>
  </si>
  <si>
    <t xml:space="preserve">README_Gropper-etal.txt</t>
  </si>
  <si>
    <t xml:space="preserve">Borghini_Data-Collection.pdf</t>
  </si>
  <si>
    <t xml:space="preserve">Borghini_ParticipantList_1st-round.tab</t>
  </si>
  <si>
    <t xml:space="preserve">Borghini_ParticipantList_2nd-round.tab</t>
  </si>
  <si>
    <t xml:space="preserve">README_Borghini.txt</t>
  </si>
  <si>
    <t xml:space="preserve">00-prep-data.Rmd</t>
  </si>
  <si>
    <t xml:space="preserve">rmd</t>
  </si>
  <si>
    <t xml:space="preserve">Code-README.md</t>
  </si>
  <si>
    <t xml:space="preserve">md</t>
  </si>
  <si>
    <t xml:space="preserve">README_Steeves.txt</t>
  </si>
  <si>
    <t xml:space="preserve">Steeves_BroadSurvey_Code.rpz</t>
  </si>
  <si>
    <t xml:space="preserve">rpz</t>
  </si>
  <si>
    <t xml:space="preserve">Steeves_BroadSurvey_Questions.odt</t>
  </si>
  <si>
    <t xml:space="preserve">odt</t>
  </si>
  <si>
    <t xml:space="preserve">Steeves_BroadSurvey_Questions.pdf</t>
  </si>
  <si>
    <t xml:space="preserve">Steeves_BroadSurvey_Questions.qsf</t>
  </si>
  <si>
    <t xml:space="preserve">qsf</t>
  </si>
  <si>
    <t xml:space="preserve">Steeves_FocusGroup_Codebook.qdc</t>
  </si>
  <si>
    <t xml:space="preserve">qdc</t>
  </si>
  <si>
    <t xml:space="preserve">Steeves_FocusGroup_Codebook.tab</t>
  </si>
  <si>
    <t xml:space="preserve">Steeves_FocusGroup_Guide.odt</t>
  </si>
  <si>
    <t xml:space="preserve">Steeves_FocusGroup_InformedConsent.odt</t>
  </si>
  <si>
    <t xml:space="preserve">Steeves_FocusGroup_InformedConsent.pdf</t>
  </si>
  <si>
    <t xml:space="preserve">Steeves_FocusGroup_InformedConsent.qsf</t>
  </si>
  <si>
    <t xml:space="preserve">Steeves_FocusGroup_Participants.tab</t>
  </si>
  <si>
    <t xml:space="preserve">Steeves_Interview_Codebook.qdc</t>
  </si>
  <si>
    <t xml:space="preserve">Steeves_Interview_Codebook.tab</t>
  </si>
  <si>
    <t xml:space="preserve">Steeves_Interview_Consent.odt</t>
  </si>
  <si>
    <t xml:space="preserve">Steeves_Interview_Consent.pdf</t>
  </si>
  <si>
    <t xml:space="preserve">Steeves_Interview_Consent.qsf</t>
  </si>
  <si>
    <t xml:space="preserve">Steeves_Interview_Participants.tab</t>
  </si>
  <si>
    <t xml:space="preserve">Steeves_Interview_Questions.odt</t>
  </si>
  <si>
    <t xml:space="preserve">Steeves_Interview_Questions.pdf</t>
  </si>
  <si>
    <t xml:space="preserve">Steeves_Interview_miso-bread-sample-repo.tar.gz</t>
  </si>
  <si>
    <t xml:space="preserve">gz</t>
  </si>
  <si>
    <t xml:space="preserve">Steeves_Project-README.odt</t>
  </si>
  <si>
    <t xml:space="preserve">index.Rmd</t>
  </si>
  <si>
    <t xml:space="preserve">style</t>
  </si>
  <si>
    <t xml:space="preserve">bin</t>
  </si>
  <si>
    <t xml:space="preserve">survey-analysis</t>
  </si>
  <si>
    <t xml:space="preserve">Mildenberger_CarbonCaptured_TRAX.pdf</t>
  </si>
  <si>
    <t xml:space="preserve">Mildenberger_MediaArchive.pdf</t>
  </si>
  <si>
    <t xml:space="preserve">README_Mildenberger.txt</t>
  </si>
  <si>
    <t xml:space="preserve">Cataldo-etal_DataNarrative.pdf</t>
  </si>
  <si>
    <t xml:space="preserve">Cataldo-etal_Data_Dictionary.xlsx</t>
  </si>
  <si>
    <t xml:space="preserve">Cataldo-etal_Informed_Consent_Adult.pdf</t>
  </si>
  <si>
    <t xml:space="preserve">Cataldo-etal_Informed_Consent_Child.pdf</t>
  </si>
  <si>
    <t xml:space="preserve">Cataldo-etal_Questionnaire_K-12_Student.pdf</t>
  </si>
  <si>
    <t xml:space="preserve">Cataldo-etal_Questionnaire_Post-Secondary_Student.pdf</t>
  </si>
  <si>
    <t xml:space="preserve">Cataldo-etal_RSIC_Definition_Codebook_CC4_230914.pdf</t>
  </si>
  <si>
    <t xml:space="preserve">Cataldo-etal_Resource_Codes.tab</t>
  </si>
  <si>
    <t xml:space="preserve">README_Cataldo-et-al.txt</t>
  </si>
  <si>
    <t xml:space="preserve">Bush-Stroup_ATI_Data_Overview.pdf</t>
  </si>
  <si>
    <t xml:space="preserve">README_Bush-Stroup.txt</t>
  </si>
  <si>
    <t xml:space="preserve">README_Rich.txt</t>
  </si>
  <si>
    <t xml:space="preserve">0_Fisher_HealthyVOICES_BaselineInterviewGuide.pdf</t>
  </si>
  <si>
    <t xml:space="preserve">0_Fisher_HealthyVOICES_Consent Form_082013.pdf</t>
  </si>
  <si>
    <t xml:space="preserve">README_Fisher.txt</t>
  </si>
  <si>
    <t xml:space="preserve">README_Yeh.txt</t>
  </si>
  <si>
    <t xml:space="preserve">Yeh_ATI_Data_Overview.pdf</t>
  </si>
  <si>
    <t xml:space="preserve">Chrisman-Khawam_SCRIBE_DataNarrative.pdf</t>
  </si>
  <si>
    <t xml:space="preserve">Chrisman-Khawam_SCRIBE_IRBProtocol.pdf</t>
  </si>
  <si>
    <t xml:space="preserve">Chrisman-Khawam_SCRIBE_InformedConsent.pdf</t>
  </si>
  <si>
    <t xml:space="preserve">Chrisman-Khawam_SCRIBE_OUHCOM_IRBApproval.pdf</t>
  </si>
  <si>
    <t xml:space="preserve">Chrisman-Khawam_SCRIBE_ProfessionalID_Questionnaire.pdf</t>
  </si>
  <si>
    <t xml:space="preserve">Chrisman-Khawam_SCRIBE_ProfessionalID_Responses.xlsx</t>
  </si>
  <si>
    <t xml:space="preserve">Chrisman-Khawam_SCRIBE_RecruitmentEmail.pdf</t>
  </si>
  <si>
    <t xml:space="preserve">Chrisman-Khawam_SCRIBE_ResearcherDesigned_Questionnaire.pdf</t>
  </si>
  <si>
    <t xml:space="preserve">Chrisman-Khawam_SCRIBE_ResearcherDesigned_Responses.tab</t>
  </si>
  <si>
    <t xml:space="preserve">README_Chrisman-Khawam _SCRIBEV2.txt</t>
  </si>
  <si>
    <t xml:space="preserve">Readme_Herrera.txt</t>
  </si>
  <si>
    <t xml:space="preserve">1Klager-et-al_FG_Guidelines.pdf</t>
  </si>
  <si>
    <t xml:space="preserve">1Klager-et-al_SurveyQuestionnaire_English.pdf</t>
  </si>
  <si>
    <t xml:space="preserve">1Klager-et-al_SurveyQuestionnaire_WithCodes_German.csv</t>
  </si>
  <si>
    <t xml:space="preserve">2Klager-et-al_InterviewGuidlines_EmerPhys.pdf</t>
  </si>
  <si>
    <t xml:space="preserve">2Klager-et-al_InterviewGuidlines_SimulationParticipants.pdf</t>
  </si>
  <si>
    <t xml:space="preserve">2Klager-et-al_InterviewGuidlines_TeleEmerCenter.pdf</t>
  </si>
  <si>
    <t xml:space="preserve">2Klager-et-al_WorkshopPlan.pdf</t>
  </si>
  <si>
    <t xml:space="preserve">Klager-et-al_DataNarrative.pdf</t>
  </si>
  <si>
    <t xml:space="preserve">README_Klager-et-al.txt</t>
  </si>
  <si>
    <t xml:space="preserve">Guastaferro_ConsentForm.pdf</t>
  </si>
  <si>
    <t xml:space="preserve">Guastaferro_DataNarrative.pdf</t>
  </si>
  <si>
    <t xml:space="preserve">Guastaferro_DemographicQuestionnaire.pdf</t>
  </si>
  <si>
    <t xml:space="preserve">Guastaferro_Intereview_CodesandThemes.pdf</t>
  </si>
  <si>
    <t xml:space="preserve">Guastaferro_InterviewQuestionnaire.pdf</t>
  </si>
  <si>
    <t xml:space="preserve">60</t>
  </si>
  <si>
    <t xml:space="preserve">Programming, broadcasting, news agency and other content distribution activities</t>
  </si>
  <si>
    <t xml:space="preserve">Guastaferro_PostWorkshop_SatisfactionQuestionnaire.pdf</t>
  </si>
  <si>
    <t xml:space="preserve">Guastaferro_RecruitmentScript.pdf</t>
  </si>
  <si>
    <t xml:space="preserve">Guastaferro_SurveyQuestionnaire.pdf</t>
  </si>
  <si>
    <t xml:space="preserve">README_Guastaferro.txt</t>
  </si>
  <si>
    <t xml:space="preserve">Jones-Calderon_DataNarrative.pdf</t>
  </si>
  <si>
    <t xml:space="preserve">Jones-Calderon_Household_Survey_Questions.pdf</t>
  </si>
  <si>
    <t xml:space="preserve">Jones-Calderon_Informed_Consent.pdf</t>
  </si>
  <si>
    <t xml:space="preserve">README_Jones-Calderon.txt</t>
  </si>
  <si>
    <t xml:space="preserve">Arney-Bertone_CodeBook.pdf</t>
  </si>
  <si>
    <t xml:space="preserve">Arney-Bertone_DataNarrative.pdf</t>
  </si>
  <si>
    <t xml:space="preserve">Arney-Bertone_InformedConsent_FGD_CDD.pdf</t>
  </si>
  <si>
    <t xml:space="preserve">Arney-Bertone_InformedConsent_FGD_Community.pdf</t>
  </si>
  <si>
    <t xml:space="preserve">Arney-Bertone_InformedConsent_KII_CSONGO.pdf</t>
  </si>
  <si>
    <t xml:space="preserve">Arney-Bertone_InformedConsent_KII_GovernmentOfficials.pdf</t>
  </si>
  <si>
    <t xml:space="preserve">Arney-Bertone_InformedConsent_KII_ProgramStaff.pdf</t>
  </si>
  <si>
    <t xml:space="preserve">README_Arney-Bertone.txt</t>
  </si>
  <si>
    <t xml:space="preserve">MyrickWeinstein_codebook_releaseinfo.pdf</t>
  </si>
  <si>
    <t xml:space="preserve">MyrickWeinstein_codebook_urgentaction.pdf</t>
  </si>
  <si>
    <t xml:space="preserve">MyrickWeinstein_interview_questionnaire.pdf</t>
  </si>
  <si>
    <t xml:space="preserve">MyrickWeinstein_sources_list.tab</t>
  </si>
  <si>
    <t xml:space="preserve">README_MyrickWeinstein.txt</t>
  </si>
  <si>
    <t xml:space="preserve">README_Vignola-et-al.txt</t>
  </si>
  <si>
    <t xml:space="preserve">Vignola-et-al_DataNarrative.pdf</t>
  </si>
  <si>
    <t xml:space="preserve">Vignola-et-al_Interview_Guide.pdf</t>
  </si>
  <si>
    <t xml:space="preserve">I</t>
  </si>
  <si>
    <t xml:space="preserve">56</t>
  </si>
  <si>
    <t xml:space="preserve">Food and beverage service activities</t>
  </si>
  <si>
    <t xml:space="preserve">Vignola-et-al_Recruitment_Email.pdf</t>
  </si>
  <si>
    <t xml:space="preserve">Vignola-et-al_Recruitment_Flyer.pdf</t>
  </si>
  <si>
    <t xml:space="preserve">Vignola-et-al_Recruitment_Postcard.pdf</t>
  </si>
  <si>
    <t xml:space="preserve">Vignola-et-al_Recruitment_SM_Post.pdf</t>
  </si>
  <si>
    <t xml:space="preserve">Calba_NarrativeDescription.pdf</t>
  </si>
  <si>
    <t xml:space="preserve">README_Calba.txt</t>
  </si>
  <si>
    <t xml:space="preserve">Dion-et-al_DataNarrative.pdf</t>
  </si>
  <si>
    <t xml:space="preserve">Dion-et-al_FGD_CODEBOOK.pdf</t>
  </si>
  <si>
    <t xml:space="preserve">Dion-et-al_FGD_CONSENT_FORM.pdf</t>
  </si>
  <si>
    <t xml:space="preserve">Dion-et-al_FGD_GUIDE.pdf</t>
  </si>
  <si>
    <t xml:space="preserve">Dion-et-al_SURVEY_Qs_CONTROL_CLINIC.pdf</t>
  </si>
  <si>
    <t xml:space="preserve">Dion-et-al_SURVEY_Qs_INTERVENTION_CLINIC.pdf</t>
  </si>
  <si>
    <t xml:space="preserve">README_Dion-et-al.txt</t>
  </si>
  <si>
    <t xml:space="preserve">Aguessivognon_DataNarrative.pdf</t>
  </si>
  <si>
    <t xml:space="preserve">Aguessivognon_InterviewGuide.pdf</t>
  </si>
  <si>
    <t xml:space="preserve">Aguessivognon_SociodemographicDataForm.pdf</t>
  </si>
  <si>
    <t xml:space="preserve">Mehling-et-al_DataNarrative.pdf</t>
  </si>
  <si>
    <t xml:space="preserve">Mehling-et-al_Data_Dictionary.tab</t>
  </si>
  <si>
    <t xml:space="preserve">Mehling-et-al_Educational_Materials.pdf</t>
  </si>
  <si>
    <t xml:space="preserve">Mehling-et-al_Informed_Consent.pdf</t>
  </si>
  <si>
    <t xml:space="preserve">Mehling-et-al_Interview_Guide.pdf</t>
  </si>
  <si>
    <t xml:space="preserve">README_Mehling-et-al.txt</t>
  </si>
  <si>
    <t xml:space="preserve">Galli_Interview_Protocol_Family_Parents.pdf</t>
  </si>
  <si>
    <t xml:space="preserve">Galli_Interview_Protocol_UM.pdf</t>
  </si>
  <si>
    <t xml:space="preserve">Galli_Recruitment_Flyer.pdf</t>
  </si>
  <si>
    <t xml:space="preserve">README_Galli.txt</t>
  </si>
  <si>
    <t xml:space="preserve">Milman_DataNarrative.pdf</t>
  </si>
  <si>
    <t xml:space="preserve">Milman_GIS_MetaData.xlsx</t>
  </si>
  <si>
    <t xml:space="preserve">Milman_InterviewCatalog.pdf</t>
  </si>
  <si>
    <t xml:space="preserve">Milman_InterviewConsentForm.pdf</t>
  </si>
  <si>
    <t xml:space="preserve">Milman_RedactionProtocol.pdf</t>
  </si>
  <si>
    <t xml:space="preserve">README_Milman.txt</t>
  </si>
  <si>
    <t xml:space="preserve">README_Young.txt</t>
  </si>
  <si>
    <t xml:space="preserve">Young_DataNarrative.pdf</t>
  </si>
  <si>
    <t xml:space="preserve">Young_Interview_InformedConsent.pdf</t>
  </si>
  <si>
    <t xml:space="preserve">Young_Interview_PreparationEmail_1.pdf</t>
  </si>
  <si>
    <t xml:space="preserve">Young_Interview_PreparationEmail_2.pdf</t>
  </si>
  <si>
    <t xml:space="preserve">Young_Interview_Protocol.pdf</t>
  </si>
  <si>
    <t xml:space="preserve">Young_Interview_RecruitmentMessage.pdf</t>
  </si>
  <si>
    <t xml:space="preserve">Young_Survey_CodebookLocalValues.tab</t>
  </si>
  <si>
    <t xml:space="preserve">Young_Survey_CodebookValuesOther.tab</t>
  </si>
  <si>
    <t xml:space="preserve">Young_Survey_CodebookVignettePracticeCodes.xlsx</t>
  </si>
  <si>
    <t xml:space="preserve">Young_Survey_CodebookVignetteValueCodes.tab</t>
  </si>
  <si>
    <t xml:space="preserve">Young_Survey_InformedConsent.pdf</t>
  </si>
  <si>
    <t xml:space="preserve">Young_Survey_Printout.pdf</t>
  </si>
  <si>
    <t xml:space="preserve">Young_Survey_RecruitmentMessage.pdf</t>
  </si>
  <si>
    <t xml:space="preserve">Young_Toolkit_00_OverviewCard.pdf</t>
  </si>
  <si>
    <t xml:space="preserve">Young_Toolkit_01_ValueCardAlignment.pdf</t>
  </si>
  <si>
    <t xml:space="preserve">Young_Toolkit_02_ValueCardBeneficence.pdf</t>
  </si>
  <si>
    <t xml:space="preserve">Young_Toolkit_03_ValueCardCollaboration.pdf</t>
  </si>
  <si>
    <t xml:space="preserve">Young_Toolkit_04_ValueCardCommunication.pdf</t>
  </si>
  <si>
    <t xml:space="preserve">Young_Toolkit_05_ValueCardHumanCentered.pdf</t>
  </si>
  <si>
    <t xml:space="preserve">Young_Toolkit_06_ValueCardImagining.pdf</t>
  </si>
  <si>
    <t xml:space="preserve">Young_Toolkit_07_ValueCardJustice.pdf</t>
  </si>
  <si>
    <t xml:space="preserve">Young_Toolkit_08_ValueCardOperability.pdf</t>
  </si>
  <si>
    <t xml:space="preserve">Young_Toolkit_09_ValueCardPositionality.pdf</t>
  </si>
  <si>
    <t xml:space="preserve">Young_Toolkit_10_ValueCardTransparency.pdf</t>
  </si>
  <si>
    <t xml:space="preserve">Young_Toolkit_11_ValueCardValidity.pdf</t>
  </si>
  <si>
    <t xml:space="preserve">Young_Toolkit_12_ValueCardBlank.pdf</t>
  </si>
  <si>
    <t xml:space="preserve">Young_Toolkit_13_ExerciseCardValuesFreewrite.pdf</t>
  </si>
  <si>
    <t xml:space="preserve">Young_Toolkit_14_ExerciseCardMustHaves.pdf</t>
  </si>
  <si>
    <t xml:space="preserve">Young_Toolkit_15_ExerciseCardAnchorsAndSails.pdf</t>
  </si>
  <si>
    <t xml:space="preserve">Gusdal-et-al_DataNarrative.pdf</t>
  </si>
  <si>
    <t xml:space="preserve">Gusdal-et-al_Evaluation_Questionnaire_English.pdf</t>
  </si>
  <si>
    <t xml:space="preserve">Gusdal-et-al_Evaluation_Questionnaire_Swedish.pdf</t>
  </si>
  <si>
    <t xml:space="preserve">Gusdal-et-al_Older_Adults_Consent_Form.pdf</t>
  </si>
  <si>
    <t xml:space="preserve">Gusdal-et-al_SocialNetwork_Questionnaire_English.pdf</t>
  </si>
  <si>
    <t xml:space="preserve">Gusdal-et-al_SocialNetwork_Questionnaire_Swedish.pdf</t>
  </si>
  <si>
    <t xml:space="preserve">Gusdal-et-al_Social_Workers_Consent_Form.pdf</t>
  </si>
  <si>
    <t xml:space="preserve">README_Gusdal-et-al.txt</t>
  </si>
  <si>
    <t xml:space="preserve">Hale_DataNarrative.pdf</t>
  </si>
  <si>
    <t xml:space="preserve">README_Hale.txt</t>
  </si>
  <si>
    <t xml:space="preserve">0_Burke_EDI_NENA.Codebook.2017.10.30.pdf</t>
  </si>
  <si>
    <t xml:space="preserve">0_Burke_EDI_NENA.MethodsDMP.2018.05.31.pdf</t>
  </si>
  <si>
    <t xml:space="preserve">Burke_EDI_NENA.Codebook.2017.10.30.docx</t>
  </si>
  <si>
    <t xml:space="preserve">docx</t>
  </si>
  <si>
    <t xml:space="preserve">Burke_EDI_NENA.Codebook.2017.10.30.rtf</t>
  </si>
  <si>
    <t xml:space="preserve">rtf</t>
  </si>
  <si>
    <t xml:space="preserve">Burke_EDI_NENA.MethodsDMP.2018.05.31.docx</t>
  </si>
  <si>
    <t xml:space="preserve">Burke_EDI_NENA.MethodsDMP.2018.05.31.rtf</t>
  </si>
  <si>
    <t xml:space="preserve">Burke_EDI_NENA.inventory.text.2017.10.08.csv</t>
  </si>
  <si>
    <t xml:space="preserve">Burke_EDI_NENA.inventory.text.2017.10.08.ods</t>
  </si>
  <si>
    <t xml:space="preserve">ods</t>
  </si>
  <si>
    <t xml:space="preserve">Burke_EDI_NENA.inventory.text.2017.10.08.tab</t>
  </si>
  <si>
    <t xml:space="preserve">README_Burke.txt</t>
  </si>
  <si>
    <t xml:space="preserve">Ogunbajo-Hickson_DataNarrative.pdf</t>
  </si>
  <si>
    <t xml:space="preserve">Ogunbajo-Hickson_FGD_InterviewGuide.pdf</t>
  </si>
  <si>
    <t xml:space="preserve">Ogunbajo-Hickson_InformedConsent.pdf</t>
  </si>
  <si>
    <t xml:space="preserve">README_Ogunbajo-Hickson.txt</t>
  </si>
  <si>
    <t xml:space="preserve">README_Sozon.txt</t>
  </si>
  <si>
    <t xml:space="preserve">Sozon_Articles_Coding.xlsx</t>
  </si>
  <si>
    <t xml:space="preserve">Sozon_Included_Articles.tab</t>
  </si>
  <si>
    <t xml:space="preserve">Sozon_Inclusion_Exclusion_Criteria.xlsx</t>
  </si>
  <si>
    <t xml:space="preserve">Sozon_PRISMAFlow_Diagram.pdf</t>
  </si>
  <si>
    <t xml:space="preserve">Sozon_PRISMA_Checklist.pdf</t>
  </si>
  <si>
    <t xml:space="preserve">0_Matima_Informed consent forms_HIV_T2D multimorbidity study.pdf</t>
  </si>
  <si>
    <t xml:space="preserve">0_Matima_Interview schedules_HIV_T2D multi-morbidity study.pdf</t>
  </si>
  <si>
    <t xml:space="preserve">0_README_Matima.txt</t>
  </si>
  <si>
    <t xml:space="preserve">Plapinger_OnlineAppendices.pdf</t>
  </si>
  <si>
    <t xml:space="preserve">README_Plapinger.txt</t>
  </si>
  <si>
    <t xml:space="preserve">README_Tallman-et-al.txt</t>
  </si>
  <si>
    <t xml:space="preserve">Tallman-et-al_Consent_Form_Indonesia.pdf</t>
  </si>
  <si>
    <t xml:space="preserve">Tallman-et-al_Consent_Form_Peru.pdf</t>
  </si>
  <si>
    <t xml:space="preserve">Tallman-et-al_DataNarrative.pdf</t>
  </si>
  <si>
    <t xml:space="preserve">Tallman-et-al_Interview Study Categories.pdf</t>
  </si>
  <si>
    <t xml:space="preserve">Tallman-et-al_Interview_Guide.pdf</t>
  </si>
  <si>
    <t xml:space="preserve">Kumwenda_Consent Form in Chichewa.pdf</t>
  </si>
  <si>
    <t xml:space="preserve">Kumwenda_Consent Form in English.pdf</t>
  </si>
  <si>
    <t xml:space="preserve">README_Kumwenda.txt</t>
  </si>
  <si>
    <t xml:space="preserve">Arrey_ATI Data Overview.pdf</t>
  </si>
  <si>
    <t xml:space="preserve">Boynito_CodeDefinitions.pdf</t>
  </si>
  <si>
    <t xml:space="preserve">Boynito_Consent_Form.pdf</t>
  </si>
  <si>
    <t xml:space="preserve">Boynito_Data_Narrative.pdf</t>
  </si>
  <si>
    <t xml:space="preserve">Boynito_Focus_Group_Checklist.pdf</t>
  </si>
  <si>
    <t xml:space="preserve">Boynito_General_Description_of_Study_Participants.pdf</t>
  </si>
  <si>
    <t xml:space="preserve">Boynito_Interview_Guide.pdf</t>
  </si>
  <si>
    <t xml:space="preserve">README_Boynito.txt</t>
  </si>
  <si>
    <t xml:space="preserve">SmithHolmes-Elliott_ATI Data Overview.pdf</t>
  </si>
  <si>
    <t xml:space="preserve">SmithHolmes-Elliott_Information on One Speaker Two Dialects.pdf</t>
  </si>
  <si>
    <t xml:space="preserve">0_Kapiszewski.Arg SC in Press.Sample Newspaper Form.pdf</t>
  </si>
  <si>
    <t xml:space="preserve">0_Kapiszewski.Arg SC in Press.Sample Newspaper Photo.jpg</t>
  </si>
  <si>
    <t xml:space="preserve">0_Kapiszewski.Arg SC in Press.Selection Methodology.pdf</t>
  </si>
  <si>
    <t xml:space="preserve">0_README_Kapiszewski.txt</t>
  </si>
  <si>
    <t xml:space="preserve">Purtle_ATI Data Overview.pdf</t>
  </si>
  <si>
    <t xml:space="preserve">README_Svyantek.txt</t>
  </si>
  <si>
    <t xml:space="preserve">Svyantek_DataNarrative.pdf</t>
  </si>
  <si>
    <t xml:space="preserve">Svyantek_DownloadedDocuments.tab</t>
  </si>
  <si>
    <t xml:space="preserve">Svyantek_Memo_Template.pdf</t>
  </si>
  <si>
    <t xml:space="preserve">Svyantek_RedirectScreenshot.pdf</t>
  </si>
  <si>
    <t xml:space="preserve">Patnaik_FocusGroupGuide.pdf</t>
  </si>
  <si>
    <t xml:space="preserve">Patnaik_InformedConsentForm.pdf</t>
  </si>
  <si>
    <t xml:space="preserve">Patnaik_InterviewGuide_CommunityMember.pdf</t>
  </si>
  <si>
    <t xml:space="preserve">Patnaik_InterviewGuide_SelectCommittee.pdf</t>
  </si>
  <si>
    <t xml:space="preserve">README_Patnaik.txt</t>
  </si>
  <si>
    <t xml:space="preserve">Lee_Codebook.pdf</t>
  </si>
  <si>
    <t xml:space="preserve">Lee_Data_Narrative.pdf</t>
  </si>
  <si>
    <t xml:space="preserve">Lee_consent_patient.pdf</t>
  </si>
  <si>
    <t xml:space="preserve">Lee_consent_therapist.pdf</t>
  </si>
  <si>
    <t xml:space="preserve">Lee_interview_guideline-stroke_survivor.pdf</t>
  </si>
  <si>
    <t xml:space="preserve">Lee_interview_guideline-therapist.pdf</t>
  </si>
  <si>
    <t xml:space="preserve">README_Lee.txt</t>
  </si>
  <si>
    <t xml:space="preserve">Gazaway-et-al_Consent_Form_CG.pdf</t>
  </si>
  <si>
    <t xml:space="preserve">Gazaway-et-al_Consent_Form_Patient.pdf</t>
  </si>
  <si>
    <t xml:space="preserve">Gazaway-et-al_DataNarrative.pdf</t>
  </si>
  <si>
    <t xml:space="preserve">Gazaway-et-al_Interview_Guide_CG.pdf</t>
  </si>
  <si>
    <t xml:space="preserve">Gazaway-et-al_Interview_Guide_Patient.pdf</t>
  </si>
  <si>
    <t xml:space="preserve">README_Gazaway-et-al.txt</t>
  </si>
  <si>
    <t xml:space="preserve">README_BouNassif.txt</t>
  </si>
  <si>
    <t xml:space="preserve">Ivanov_Consent-Form.pdf</t>
  </si>
  <si>
    <t xml:space="preserve">Ivanov_Cyber_Questionnaire.pdf</t>
  </si>
  <si>
    <t xml:space="preserve">Ivanov_Energy_Questionnaire.pdf</t>
  </si>
  <si>
    <t xml:space="preserve">Ivanov_General-Information.pdf</t>
  </si>
  <si>
    <t xml:space="preserve">Ivanov_Peacebuilding_Questionnaire.pdf</t>
  </si>
  <si>
    <t xml:space="preserve">Ivanov_Peacebuilding_Questionnaire_v2.docx</t>
  </si>
  <si>
    <t xml:space="preserve">README_Ivanov.txt</t>
  </si>
  <si>
    <t xml:space="preserve">McIntosh-Leuthardt_Codebook_CRG.pdf</t>
  </si>
  <si>
    <t xml:space="preserve">McIntosh-Leuthardt_Codebook_NSG.pdf</t>
  </si>
  <si>
    <t xml:space="preserve">McIntosh-Leuthardt_Codebook_PAT.pdf</t>
  </si>
  <si>
    <t xml:space="preserve">McIntosh-Leuthardt_Consent_Information_Sheet_CRG_PAT.pdf</t>
  </si>
  <si>
    <t xml:space="preserve">McIntosh-Leuthardt_Consent_Information_Sheet_NSG.pdf</t>
  </si>
  <si>
    <t xml:space="preserve">McIntosh-Leuthardt_DataNarrative.pdf</t>
  </si>
  <si>
    <t xml:space="preserve">McIntosh-Leuthardt_Demographics_Slides_CRG_PAT.pdf</t>
  </si>
  <si>
    <t xml:space="preserve">McIntosh-Leuthardt_Demographics_Slides_CRG_PAT.pptx</t>
  </si>
  <si>
    <t xml:space="preserve">pptx</t>
  </si>
  <si>
    <t xml:space="preserve">McIntosh-Leuthardt_Demographics_Slides_NSG.pdf</t>
  </si>
  <si>
    <t xml:space="preserve">McIntosh-Leuthardt_Demographics_Slides_NSG.pptx</t>
  </si>
  <si>
    <t xml:space="preserve">McIntosh-Leuthardt_Educational_Slides_CRG_PAT.pdf</t>
  </si>
  <si>
    <t xml:space="preserve">McIntosh-Leuthardt_Educational_Slides_CRG_PAT.pptx</t>
  </si>
  <si>
    <t xml:space="preserve">McIntosh-Leuthardt_Interview_Guide_CRG.pdf</t>
  </si>
  <si>
    <t xml:space="preserve">McIntosh-Leuthardt_Interview_Guide_NSG.pdf</t>
  </si>
  <si>
    <t xml:space="preserve">McIntosh-Leuthardt_Interview_Guide_PAT.pdf</t>
  </si>
  <si>
    <t xml:space="preserve">README_McIntosh-Leuthardt.txt</t>
  </si>
  <si>
    <t xml:space="preserve">Kelleher_Data-Narrative.pdf</t>
  </si>
  <si>
    <t xml:space="preserve">Kelleher_VR-Blue_Informed_Consent.pdf</t>
  </si>
  <si>
    <t xml:space="preserve">Kelleher_study-summary.pdf</t>
  </si>
  <si>
    <t xml:space="preserve">PCRC Qualitative Exit Interview Guide_3001.pdf</t>
  </si>
  <si>
    <t xml:space="preserve">PCRC Qualitative Exit Interview Guide_3002.pdf</t>
  </si>
  <si>
    <t xml:space="preserve">PCRC Qualitative Exit Interview Guide_3003.pdf</t>
  </si>
  <si>
    <t xml:space="preserve">PCRC Qualitative Exit Interview Guide_3004.pdf</t>
  </si>
  <si>
    <t xml:space="preserve">README_Kelleher.txt</t>
  </si>
  <si>
    <t xml:space="preserve">Kumwenda-et-al_Acronyms.pdf</t>
  </si>
  <si>
    <t xml:space="preserve">Kumwenda-et-al_ConsentForm_English.pdf</t>
  </si>
  <si>
    <t xml:space="preserve">Kumwenda-et-al_ConsentForm_Malawi.pdf</t>
  </si>
  <si>
    <t xml:space="preserve">Kumwenda-et-al_DataNarrative.pdf</t>
  </si>
  <si>
    <t xml:space="preserve">Kumwenda-et-al_PanBio_Interview_Guide.pdf</t>
  </si>
  <si>
    <t xml:space="preserve">Kumwenda-et-al_PanBio_Iteration1_Summary.pdf</t>
  </si>
  <si>
    <t xml:space="preserve">Kumwenda-et-al_PanBio_Iteration2_Summary.pdf</t>
  </si>
  <si>
    <t xml:space="preserve">Kumwenda-et-al_PanBio_Iteration3_Summary.pdf</t>
  </si>
  <si>
    <t xml:space="preserve">Kumwenda-et-al_PanBio_Iteration4_Summary.pdf</t>
  </si>
  <si>
    <t xml:space="preserve">Kumwenda-et-al_STDQ_Interview_Guide.pdf</t>
  </si>
  <si>
    <t xml:space="preserve">Kumwenda-et-al_STDQ_Iteration1_Summary.pdf</t>
  </si>
  <si>
    <t xml:space="preserve">Kumwenda-et-al_STDQ_Iteration2_Summary.pdf</t>
  </si>
  <si>
    <t xml:space="preserve">Kumwenda-et-al_STDQ_Iteration3_Summary.pdf</t>
  </si>
  <si>
    <t xml:space="preserve">Kumwenda-et-al_STDQ_Iteration4_Summary.pdf</t>
  </si>
  <si>
    <t xml:space="preserve">Kumwenda-et-al_STDQ_Iteration5_Summary.pdf</t>
  </si>
  <si>
    <t xml:space="preserve">Kumwenda_ParticipantDemographics.tab</t>
  </si>
  <si>
    <t xml:space="preserve">README_Kumwenda-et-al.txt</t>
  </si>
  <si>
    <t xml:space="preserve">0_README_Roever.txt</t>
  </si>
  <si>
    <t xml:space="preserve">README_Boivin.txt</t>
  </si>
  <si>
    <t xml:space="preserve">Castro_DataNarrative.pdf</t>
  </si>
  <si>
    <t xml:space="preserve">Castro_Informed_Consent.pdf</t>
  </si>
  <si>
    <t xml:space="preserve">Castro_Questionnaire.pdf</t>
  </si>
  <si>
    <t xml:space="preserve">README_Castro.txt</t>
  </si>
  <si>
    <t xml:space="preserve">Mayka_ATI_Data_Overview.pdf</t>
  </si>
  <si>
    <t xml:space="preserve">README_Mayka.txt</t>
  </si>
  <si>
    <t xml:space="preserve">README_StJohn.txt</t>
  </si>
  <si>
    <t xml:space="preserve">StJohn_Background Information_Data Overview - The Rise of Investor-State Arbitration.pdf</t>
  </si>
  <si>
    <t xml:space="preserve">StJohn_Background Information_Translations - The Rise of Investor-State Arbitration.pdf</t>
  </si>
  <si>
    <t xml:space="preserve">StJohn_Background Information_World Bank Group Archival Documents used in The Rise of Investor-State.pdf</t>
  </si>
  <si>
    <t xml:space="preserve">0_Chukwuma_FGD Consent Form Health Workers_DOCUMENTATION.pdf</t>
  </si>
  <si>
    <t xml:space="preserve">0_Chukwuma_FGD Consent Form TBA delivery client_DOCUMENTATION.pdf</t>
  </si>
  <si>
    <t xml:space="preserve">0_Chukwuma_FGD Consent Form TBA_DOCUMENTATION.pdf</t>
  </si>
  <si>
    <t xml:space="preserve">0_Chukwuma_FGD Discussion Guide Health Workers_DOCUMENTATION.pdf</t>
  </si>
  <si>
    <t xml:space="preserve">0_Chukwuma_FGD Discussion Guide TBA delivery clients_DOCUMENTATION.pdf</t>
  </si>
  <si>
    <t xml:space="preserve">0_Chukwuma_FGD Discussion Guide TBA_DOCUMENTATION.pdf</t>
  </si>
  <si>
    <t xml:space="preserve">0_README_Chukwuma.txt</t>
  </si>
  <si>
    <t xml:space="preserve">Constitute_MetadataCopyright2017-11-21.nt</t>
  </si>
  <si>
    <t xml:space="preserve">nt</t>
  </si>
  <si>
    <t xml:space="preserve">Constitute_copyrights.tab</t>
  </si>
  <si>
    <t xml:space="preserve">Constitute_ontology.owl</t>
  </si>
  <si>
    <t xml:space="preserve">owl</t>
  </si>
  <si>
    <t xml:space="preserve">README_Elkins.txt</t>
  </si>
  <si>
    <t xml:space="preserve">Cremaschi-Masullo_DataOverview.pdf</t>
  </si>
  <si>
    <t xml:space="preserve">Cremaschi-Masullo_anpi_flowers_anon.jpeg</t>
  </si>
  <si>
    <t xml:space="preserve">jpeg</t>
  </si>
  <si>
    <t xml:space="preserve">Cremaschi-Masullo_cimitero.jpeg</t>
  </si>
  <si>
    <t xml:space="preserve">Cremaschi-Masullo_city_hall_monument2.png</t>
  </si>
  <si>
    <t xml:space="preserve">png</t>
  </si>
  <si>
    <t xml:space="preserve">Cremaschi-Masullo_cycling_associations.png</t>
  </si>
  <si>
    <t xml:space="preserve">Cremaschi-Masullo_facebook_signature_collection.png</t>
  </si>
  <si>
    <t xml:space="preserve">Cremaschi-Masullo_garden_and_stone.png</t>
  </si>
  <si>
    <t xml:space="preserve">Cremaschi-Masullo_ilvalore.png</t>
  </si>
  <si>
    <t xml:space="preserve">Cremaschi-Masullo_mappa_località_resistenti_MSP.jpeg</t>
  </si>
  <si>
    <t xml:space="preserve">Cremaschi-Masullo_monuments_hist_new.png</t>
  </si>
  <si>
    <t xml:space="preserve">Cremaschi-Masullo_strade_dvd_book.png</t>
  </si>
  <si>
    <t xml:space="preserve">Cremaschi-Masullo_street_names.jpg</t>
  </si>
  <si>
    <t xml:space="preserve">README_Cremaschi-Masullo.txt</t>
  </si>
  <si>
    <t xml:space="preserve">0_Cassese_Data Source File.tab</t>
  </si>
  <si>
    <t xml:space="preserve">0_README_Cassese.txt</t>
  </si>
  <si>
    <t xml:space="preserve">Cassese Data Narrative_DOCUMENTATION.pdf</t>
  </si>
  <si>
    <t xml:space="preserve">Readme_Handlin.txt</t>
  </si>
  <si>
    <t xml:space="preserve">Kreuzer_ATI_Data_Overview.pdf</t>
  </si>
  <si>
    <t xml:space="preserve">Baser_Data Narrative.pdf</t>
  </si>
  <si>
    <t xml:space="preserve">README_Baser.txt</t>
  </si>
  <si>
    <t xml:space="preserve">Hamilton_ATI Data Overview Final.pdf</t>
  </si>
  <si>
    <t xml:space="preserve">Moore-et-al_DataNarrative_II.pdf</t>
  </si>
  <si>
    <t xml:space="preserve">Moore-et-al_News_Outlets_Publications_Full_List.tab</t>
  </si>
  <si>
    <t xml:space="preserve">Moore-et-al_Sources_Selection.pdf</t>
  </si>
  <si>
    <t xml:space="preserve">README_Moore-et-al_MEDIA.txt</t>
  </si>
  <si>
    <t xml:space="preserve">README_Ellett.txt</t>
  </si>
  <si>
    <t xml:space="preserve">0_README_Fazal.txt</t>
  </si>
  <si>
    <t xml:space="preserve">0_WWICodingExplanationMD.pdf</t>
  </si>
  <si>
    <t xml:space="preserve">0_WWIICodingExplanationMD.pdf</t>
  </si>
  <si>
    <t xml:space="preserve">Kumar_Consent-Forms_All-Participants.pdf</t>
  </si>
  <si>
    <t xml:space="preserve">Kumar_KII-and-FGD-guides_All-Participants.pdf</t>
  </si>
  <si>
    <t xml:space="preserve">README_Kumar.txt</t>
  </si>
  <si>
    <t xml:space="preserve">README_Longo.txt</t>
  </si>
  <si>
    <t xml:space="preserve">00.01 CM Master Files and Abbreviations.tab</t>
  </si>
  <si>
    <t xml:space="preserve">00.01 Non-Task-Specific Training Document Log.tab</t>
  </si>
  <si>
    <t xml:space="preserve">Go_Discuss_Data_Overview.docx</t>
  </si>
  <si>
    <t xml:space="preserve">Go_Discuss_Permission_Letter.docx</t>
  </si>
  <si>
    <t xml:space="preserve">README_Howell_Non_Task_Specific.txt</t>
  </si>
  <si>
    <t xml:space="preserve">00.01 M2 Master Files and Abbreviations.tab</t>
  </si>
  <si>
    <t xml:space="preserve">README_Howell_M2.txt</t>
  </si>
  <si>
    <t xml:space="preserve">00.01 M3 Master Files and Abbreviations.tab</t>
  </si>
  <si>
    <t xml:space="preserve">README_Howell_M3.txt</t>
  </si>
  <si>
    <t xml:space="preserve">README_SwensonGeoffrey.txt</t>
  </si>
  <si>
    <t xml:space="preserve">Swenson ATI Data Overview.pdf</t>
  </si>
  <si>
    <t xml:space="preserve">README_Trachtenberg_PM.txt</t>
  </si>
  <si>
    <t xml:space="preserve">Trachtenberg_PM_Master.tab</t>
  </si>
  <si>
    <t xml:space="preserve">0_Masullo_ATI_Data Overview.pdf</t>
  </si>
  <si>
    <t xml:space="preserve">README_Masullo.txt</t>
  </si>
  <si>
    <t xml:space="preserve">00.01 M4 Master Files and Abbreviations Log.tab</t>
  </si>
  <si>
    <t xml:space="preserve">README_Howell_M4.txt</t>
  </si>
  <si>
    <t xml:space="preserve">00.01 S4 Master Files and Abbreviations.tab</t>
  </si>
  <si>
    <t xml:space="preserve">README_Howell_S4.txt</t>
  </si>
  <si>
    <t xml:space="preserve">00.01 S3 Master Files and Abbreviations.tab</t>
  </si>
  <si>
    <t xml:space="preserve">README_Howell_S3.txt</t>
  </si>
  <si>
    <t xml:space="preserve">00.01 S2 Master Files and Abbreviations.tab</t>
  </si>
  <si>
    <t xml:space="preserve">README_Howell_S2.txt</t>
  </si>
  <si>
    <t xml:space="preserve">Bril-Post_Argentina_Bus_Subsidy_Programs_Data_Supplement.pdf</t>
  </si>
  <si>
    <t xml:space="preserve">Bril-Post_Argentina_Gas_Subsidy_Program_Data_Supplement.pdf</t>
  </si>
  <si>
    <t xml:space="preserve">Bril-Post_Argentina_Investment_in_Urban_Bus_Transportation_Data_Supplement.pdf</t>
  </si>
  <si>
    <t xml:space="preserve">Bril-Post_Argentina_Wages_Datasets_Data_Supplement.pdf</t>
  </si>
  <si>
    <t xml:space="preserve">Bril-Post_Introductory_Data_Supplement.pdf</t>
  </si>
  <si>
    <t xml:space="preserve">Bril-Post_Legislation_Archive_Data_Supplement.pdf</t>
  </si>
  <si>
    <t xml:space="preserve">Bril-Post_Newspaper_Archive_Data_Supplement.pdf</t>
  </si>
  <si>
    <t xml:space="preserve">README_Bril-Post.txt</t>
  </si>
  <si>
    <t xml:space="preserve">0_README_Gallagher.txt</t>
  </si>
  <si>
    <t xml:space="preserve">Gallagher_DataNarrative_DOCUMENTATION.pdf</t>
  </si>
  <si>
    <t xml:space="preserve">Gallagher_SurveyMethodsReport 2012_DOCUMENTATON.pdf</t>
  </si>
  <si>
    <t xml:space="preserve">Mazur_DatingOnline_CodingManual.pdf</t>
  </si>
  <si>
    <t xml:space="preserve">README_Mazur.txt</t>
  </si>
  <si>
    <t xml:space="preserve">Leonard_Provenance.tab</t>
  </si>
  <si>
    <t xml:space="preserve">README_Leonard.txt</t>
  </si>
  <si>
    <t xml:space="preserve">00.01 M1 Master Files and Abbreviations.tab</t>
  </si>
  <si>
    <t xml:space="preserve">README_Howell_M1.txt</t>
  </si>
  <si>
    <t xml:space="preserve">00.01 S1 Master Files and Abbreviations.tab</t>
  </si>
  <si>
    <t xml:space="preserve">README_Howell_S1.txt</t>
  </si>
  <si>
    <t xml:space="preserve">0_README_Havice.txt</t>
  </si>
  <si>
    <t xml:space="preserve">Havice_ODSIC-CodingScheme.pdf</t>
  </si>
  <si>
    <t xml:space="preserve">03</t>
  </si>
  <si>
    <t xml:space="preserve">Fishing and aquaculture</t>
  </si>
  <si>
    <t xml:space="preserve">Havice_ODSIC.pdf</t>
  </si>
  <si>
    <t xml:space="preserve">NIRI_ALJ_Permission_to_NIRI.pdf</t>
  </si>
  <si>
    <t xml:space="preserve">NIRI_Data_Narrative.pdf</t>
  </si>
  <si>
    <t xml:space="preserve">NIRI_QDR_File_Processing_Note.pdf</t>
  </si>
  <si>
    <t xml:space="preserve">README_NIRI.txt</t>
  </si>
  <si>
    <t xml:space="preserve">README_Snyder.txt</t>
  </si>
  <si>
    <t xml:space="preserve">Snyder_Zaionchkovskii_1926_87a.pdf</t>
  </si>
  <si>
    <t xml:space="preserve">README_Bea.txt</t>
  </si>
  <si>
    <t xml:space="preserve">Mainwaring-Perez-Linan_Actors_Coding_Rules.pdf</t>
  </si>
  <si>
    <t xml:space="preserve">README_Mainwaring-Perez-Linan.txt</t>
  </si>
  <si>
    <t xml:space="preserve">55</t>
  </si>
  <si>
    <t xml:space="preserve">Accommodation</t>
  </si>
  <si>
    <t xml:space="preserve">README_RinkusMarisa.txt</t>
  </si>
  <si>
    <t xml:space="preserve">Rinkus_ATI Data Overview.pdf</t>
  </si>
  <si>
    <t xml:space="preserve">Rinkus_FocusGroupSchedule_2011.pdf</t>
  </si>
  <si>
    <t xml:space="preserve">Rinkus_Questionnaire_2011.pdf</t>
  </si>
  <si>
    <t xml:space="preserve">Rinkus_StudySiteMap_2011.pdf</t>
  </si>
  <si>
    <t xml:space="preserve">00.01 Scoring Master Files and Abbreviations Log.tab</t>
  </si>
  <si>
    <t xml:space="preserve">README_Howell_Scoring.txt</t>
  </si>
  <si>
    <t xml:space="preserve">Acolin-Jampel_Codebook.xlsx</t>
  </si>
  <si>
    <t xml:space="preserve">Acolin-Jampel_DataNarrative.pdf</t>
  </si>
  <si>
    <t xml:space="preserve">Acolin-Jampel_FocusGroupFacilitatorInfo.pdf</t>
  </si>
  <si>
    <t xml:space="preserve">Acolin-Jampel_FocusGroupGuide.pdf</t>
  </si>
  <si>
    <t xml:space="preserve">README_Acolin-Jampel.txt</t>
  </si>
  <si>
    <t xml:space="preserve">Mannheimer-et-al_DataNarrative.pdf</t>
  </si>
  <si>
    <t xml:space="preserve">README_Mannheimer-et-al.txt</t>
  </si>
  <si>
    <t xml:space="preserve">Tabatabai-Tracy_Samuel_ATI_Data_Overview.pdf</t>
  </si>
  <si>
    <t xml:space="preserve">Boas_Brazil_Metadata.tab</t>
  </si>
  <si>
    <t xml:space="preserve">Boas_Chile_Metadata.tab</t>
  </si>
  <si>
    <t xml:space="preserve">Boas_Guide to Metadata.pdf</t>
  </si>
  <si>
    <t xml:space="preserve">Boas_Peru_Metadata.tab</t>
  </si>
  <si>
    <t xml:space="preserve">README_Boas.txt</t>
  </si>
  <si>
    <t xml:space="preserve">Goertz_REI Coding.tab</t>
  </si>
  <si>
    <t xml:space="preserve">Goertz_reittreatylist.txt</t>
  </si>
  <si>
    <t xml:space="preserve">README_Goertz.txt</t>
  </si>
  <si>
    <t xml:space="preserve">README_Dev.txt</t>
  </si>
  <si>
    <t xml:space="preserve">README_Monmonier.txt</t>
  </si>
  <si>
    <t xml:space="preserve">Tidy_ATI_Data_Overview.pdf</t>
  </si>
  <si>
    <t xml:space="preserve">README_Reyes.txt</t>
  </si>
  <si>
    <t xml:space="preserve">README_MBarek.txt</t>
  </si>
  <si>
    <t xml:space="preserve">Chrisman-Khawam_SNAP_ IRBApproval.pdf</t>
  </si>
  <si>
    <t xml:space="preserve">Chrisman-Khawam_SNAP_DataNarrative.pdf</t>
  </si>
  <si>
    <t xml:space="preserve">Chrisman-Khawam_SNAP_IRBExemptApproval.pdf</t>
  </si>
  <si>
    <t xml:space="preserve">Chrisman-Khawam_SNAP_InformedConsent.pdf</t>
  </si>
  <si>
    <t xml:space="preserve">Chrisman-Khawam_SNAP_Questionnaire.pdf</t>
  </si>
  <si>
    <t xml:space="preserve">Chrisman-Khawam_SNAP_RecruitmentEmail.pdf</t>
  </si>
  <si>
    <t xml:space="preserve">Chrisman-Khawam_SNAP_Responses.tab</t>
  </si>
  <si>
    <t xml:space="preserve">README_Chrisman-Khawam_SNAPV2.txt</t>
  </si>
  <si>
    <t xml:space="preserve">README_Trachtenberg_FR.txt</t>
  </si>
  <si>
    <t xml:space="preserve">Trachtenberg_FR_Master.tab</t>
  </si>
  <si>
    <t xml:space="preserve">README_Trachtenberg_BR.txt</t>
  </si>
  <si>
    <t xml:space="preserve">Trachtenberg_BR_Master.tab</t>
  </si>
  <si>
    <t xml:space="preserve">README_Nimani.txt</t>
  </si>
  <si>
    <t xml:space="preserve">Pierskalla-De_Juan_ATI_Data_Overview.pdf</t>
  </si>
  <si>
    <t xml:space="preserve">61</t>
  </si>
  <si>
    <t xml:space="preserve">Telecommunications</t>
  </si>
  <si>
    <t xml:space="preserve">Musgrave_Data Supplement.pdf</t>
  </si>
  <si>
    <t xml:space="preserve">Musgrave_Nexon_ATI Data Overview.pdf</t>
  </si>
  <si>
    <t xml:space="preserve">README_Hitt.txt</t>
  </si>
  <si>
    <t xml:space="preserve">Gonzalez-Ocantos_Mexico_News Archive_TJ_Campaña electoral 2000.tab</t>
  </si>
  <si>
    <t xml:space="preserve">Gonzalez-Ocantos_Mexico_News Archive_TJ_Fiscalía Especial.tab</t>
  </si>
  <si>
    <t xml:space="preserve">Gonzalez-Ocantos_Mexico_News Archive_TJ_Transición.tab</t>
  </si>
  <si>
    <t xml:space="preserve">README_Gonzalez-Ocantos.txt</t>
  </si>
  <si>
    <t xml:space="preserve">README_Trachtenberg_Appendices.txt</t>
  </si>
  <si>
    <t xml:space="preserve">Trachtenberg_Appendices_Master.tab</t>
  </si>
  <si>
    <t xml:space="preserve">Blouin-etal_CV_Expert.pdf</t>
  </si>
  <si>
    <t xml:space="preserve">Blouin-etal_Consentement_eclaire.pdf</t>
  </si>
  <si>
    <t xml:space="preserve">Blouin-etal_Questionnaire_Round1.pdf</t>
  </si>
  <si>
    <t xml:space="preserve">Blouin-etal_Questionnaire_Round2.pdf</t>
  </si>
  <si>
    <t xml:space="preserve">Blouin-etal_Questionnaire_Round3-4.pdf</t>
  </si>
  <si>
    <t xml:space="preserve">README_Blouin-etal.txt</t>
  </si>
  <si>
    <t xml:space="preserve">README_Trachtenberg_US.txt</t>
  </si>
  <si>
    <t xml:space="preserve">Trachtenberg_US_19611020_1.pdf</t>
  </si>
  <si>
    <t xml:space="preserve">Trachtenberg_US_Master.tab</t>
  </si>
  <si>
    <t xml:space="preserve">README_Wedeen.txt</t>
  </si>
  <si>
    <t xml:space="preserve">Wedeen_archivedurls_bibliography.tab</t>
  </si>
  <si>
    <t xml:space="preserve">Wedeen_archivedurls_notes.tab</t>
  </si>
  <si>
    <t xml:space="preserve">Wedeen_archivedurls_videos.tab</t>
  </si>
  <si>
    <t xml:space="preserve">Corsi-Porrovecchio_DataNarrative.pdf</t>
  </si>
  <si>
    <t xml:space="preserve">Corsi-Porrovecchio_Informed_Consent.pdf</t>
  </si>
  <si>
    <t xml:space="preserve">Corsi-Porrovecchio_Questionnaire.pdf</t>
  </si>
  <si>
    <t xml:space="preserve">README_Corsi-Porrovecchio.txt</t>
  </si>
  <si>
    <t xml:space="preserve">README_Soifer.txt</t>
  </si>
  <si>
    <t xml:space="preserve">Clarke_Lebanon Events List.tsv</t>
  </si>
  <si>
    <t xml:space="preserve">tsv</t>
  </si>
  <si>
    <t xml:space="preserve">Clarke_Lebanon Events List.xlsx</t>
  </si>
  <si>
    <t xml:space="preserve">Clarke_UNHCR reports_URLs.xlsx</t>
  </si>
  <si>
    <t xml:space="preserve">Readme_Clarke.txt</t>
  </si>
  <si>
    <t xml:space="preserve">README_Zagare.txt</t>
  </si>
  <si>
    <t xml:space="preserve">Zagare_Relevant Faculty (past and present).pdf</t>
  </si>
  <si>
    <t xml:space="preserve">README_Serrano-Gomez.txt</t>
  </si>
  <si>
    <t xml:space="preserve">Serrano-Gomez_Encuestas_Expertos_Espanol.xlsx</t>
  </si>
  <si>
    <t xml:space="preserve">Serrano-Gomez_Expert_Questionnaires_English.xlsx</t>
  </si>
  <si>
    <t xml:space="preserve">README_Crawford.txt</t>
  </si>
  <si>
    <t xml:space="preserve">tag</t>
  </si>
  <si>
    <t xml:space="preserve">academic research</t>
  </si>
  <si>
    <t xml:space="preserve">accounting</t>
  </si>
  <si>
    <t xml:space="preserve">advertising</t>
  </si>
  <si>
    <t xml:space="preserve">agriculture</t>
  </si>
  <si>
    <t xml:space="preserve">animal health</t>
  </si>
  <si>
    <t xml:space="preserve">architecture</t>
  </si>
  <si>
    <t xml:space="preserve">archives</t>
  </si>
  <si>
    <t xml:space="preserve">arts</t>
  </si>
  <si>
    <t xml:space="preserve">asylum seekers</t>
  </si>
  <si>
    <t xml:space="preserve">cancer</t>
  </si>
  <si>
    <t xml:space="preserve">career transitions</t>
  </si>
  <si>
    <t xml:space="preserve">chronic illness</t>
  </si>
  <si>
    <t xml:space="preserve">civic engagement</t>
  </si>
  <si>
    <t xml:space="preserve">civil society</t>
  </si>
  <si>
    <t xml:space="preserve">classroom</t>
  </si>
  <si>
    <t xml:space="preserve">clinical</t>
  </si>
  <si>
    <t xml:space="preserve">construction</t>
  </si>
  <si>
    <t xml:space="preserve">consumer research</t>
  </si>
  <si>
    <t xml:space="preserve">crop</t>
  </si>
  <si>
    <t xml:space="preserve">cultural heritage</t>
  </si>
  <si>
    <t xml:space="preserve">curriculum</t>
  </si>
  <si>
    <t xml:space="preserve">data archiving</t>
  </si>
  <si>
    <t xml:space="preserve">data curation</t>
  </si>
  <si>
    <t xml:space="preserve">data processing</t>
  </si>
  <si>
    <t xml:space="preserve">data repository</t>
  </si>
  <si>
    <t xml:space="preserve">data reuse</t>
  </si>
  <si>
    <t xml:space="preserve">design activities</t>
  </si>
  <si>
    <t xml:space="preserve">diagnosis</t>
  </si>
  <si>
    <t xml:space="preserve">digital preservation</t>
  </si>
  <si>
    <t xml:space="preserve">disease</t>
  </si>
  <si>
    <t xml:space="preserve">documentary</t>
  </si>
  <si>
    <t xml:space="preserve">education</t>
  </si>
  <si>
    <t xml:space="preserve">educational research</t>
  </si>
  <si>
    <t xml:space="preserve">energy policy</t>
  </si>
  <si>
    <t xml:space="preserve">epidemiology</t>
  </si>
  <si>
    <t xml:space="preserve">ethnography</t>
  </si>
  <si>
    <t xml:space="preserve">exercise</t>
  </si>
  <si>
    <t xml:space="preserve">family life</t>
  </si>
  <si>
    <t xml:space="preserve">farmers</t>
  </si>
  <si>
    <t xml:space="preserve">fisheries</t>
  </si>
  <si>
    <t xml:space="preserve">fishing</t>
  </si>
  <si>
    <t xml:space="preserve">focus group</t>
  </si>
  <si>
    <t xml:space="preserve">food service</t>
  </si>
  <si>
    <t xml:space="preserve">forestry</t>
  </si>
  <si>
    <t xml:space="preserve">governance</t>
  </si>
  <si>
    <t xml:space="preserve">grounded theory</t>
  </si>
  <si>
    <t xml:space="preserve">health</t>
  </si>
  <si>
    <t xml:space="preserve">healthcare</t>
  </si>
  <si>
    <t xml:space="preserve">higher education</t>
  </si>
  <si>
    <t xml:space="preserve">hospital</t>
  </si>
  <si>
    <t xml:space="preserve">human rights</t>
  </si>
  <si>
    <t xml:space="preserve">illness</t>
  </si>
  <si>
    <t xml:space="preserve">insurance</t>
  </si>
  <si>
    <t xml:space="preserve">international organization</t>
  </si>
  <si>
    <t xml:space="preserve">interpretation</t>
  </si>
  <si>
    <t xml:space="preserve">interview study</t>
  </si>
  <si>
    <t xml:space="preserve">journalism</t>
  </si>
  <si>
    <t xml:space="preserve">learning</t>
  </si>
  <si>
    <t xml:space="preserve">leasing</t>
  </si>
  <si>
    <t xml:space="preserve">legal aid</t>
  </si>
  <si>
    <t xml:space="preserve">library</t>
  </si>
  <si>
    <t xml:space="preserve">literacy</t>
  </si>
  <si>
    <t xml:space="preserve">livestock</t>
  </si>
  <si>
    <t xml:space="preserve">logging</t>
  </si>
  <si>
    <t xml:space="preserve">logistics</t>
  </si>
  <si>
    <t xml:space="preserve">market research</t>
  </si>
  <si>
    <t xml:space="preserve">medical</t>
  </si>
  <si>
    <t xml:space="preserve">mental health</t>
  </si>
  <si>
    <t xml:space="preserve">microfinance</t>
  </si>
  <si>
    <t xml:space="preserve">museum</t>
  </si>
  <si>
    <t xml:space="preserve">news media</t>
  </si>
  <si>
    <t xml:space="preserve">nonprofit organization</t>
  </si>
  <si>
    <t xml:space="preserve">nursing</t>
  </si>
  <si>
    <t xml:space="preserve">nursing home</t>
  </si>
  <si>
    <t xml:space="preserve">open data</t>
  </si>
  <si>
    <t xml:space="preserve">participant observation</t>
  </si>
  <si>
    <t xml:space="preserve">patient</t>
  </si>
  <si>
    <t xml:space="preserve">pedagogy</t>
  </si>
  <si>
    <t xml:space="preserve">phenomenology</t>
  </si>
  <si>
    <t xml:space="preserve">physical activity</t>
  </si>
  <si>
    <t xml:space="preserve">physician</t>
  </si>
  <si>
    <t xml:space="preserve">policing</t>
  </si>
  <si>
    <t xml:space="preserve">policy feedback</t>
  </si>
  <si>
    <t xml:space="preserve">political attitudes</t>
  </si>
  <si>
    <t xml:space="preserve">political behavior</t>
  </si>
  <si>
    <t xml:space="preserve">power plant</t>
  </si>
  <si>
    <t xml:space="preserve">public administration</t>
  </si>
  <si>
    <t xml:space="preserve">public health</t>
  </si>
  <si>
    <t xml:space="preserve">public policy</t>
  </si>
  <si>
    <t xml:space="preserve">public sector</t>
  </si>
  <si>
    <t xml:space="preserve">publishing</t>
  </si>
  <si>
    <t xml:space="preserve">qualitative research methods</t>
  </si>
  <si>
    <t xml:space="preserve">recruitment</t>
  </si>
  <si>
    <t xml:space="preserve">refugee</t>
  </si>
  <si>
    <t xml:space="preserve">research and development</t>
  </si>
  <si>
    <t xml:space="preserve">research methodology</t>
  </si>
  <si>
    <t xml:space="preserve">restaurants</t>
  </si>
  <si>
    <t xml:space="preserve">retail</t>
  </si>
  <si>
    <t xml:space="preserve">school</t>
  </si>
  <si>
    <t xml:space="preserve">scientific research</t>
  </si>
  <si>
    <t xml:space="preserve">search engines</t>
  </si>
  <si>
    <t xml:space="preserve">social media platform</t>
  </si>
  <si>
    <t xml:space="preserve">social science research</t>
  </si>
  <si>
    <t xml:space="preserve">social services</t>
  </si>
  <si>
    <t xml:space="preserve">social work</t>
  </si>
  <si>
    <t xml:space="preserve">software development</t>
  </si>
  <si>
    <t xml:space="preserve">sports</t>
  </si>
  <si>
    <t xml:space="preserve">students</t>
  </si>
  <si>
    <t xml:space="preserve">supply chain</t>
  </si>
  <si>
    <t xml:space="preserve">surveillance</t>
  </si>
  <si>
    <t xml:space="preserve">teaching</t>
  </si>
  <si>
    <t xml:space="preserve">television</t>
  </si>
  <si>
    <t xml:space="preserve">trade union</t>
  </si>
  <si>
    <t xml:space="preserve">translation</t>
  </si>
  <si>
    <t xml:space="preserve">transportation</t>
  </si>
  <si>
    <t xml:space="preserve">treatment</t>
  </si>
  <si>
    <t xml:space="preserve">unemployment</t>
  </si>
  <si>
    <t xml:space="preserve">united nations</t>
  </si>
  <si>
    <t xml:space="preserve">university</t>
  </si>
  <si>
    <t xml:space="preserve">user experience</t>
  </si>
  <si>
    <t xml:space="preserve">veterinary</t>
  </si>
  <si>
    <t xml:space="preserve">voting</t>
  </si>
  <si>
    <t xml:space="preserve">water access</t>
  </si>
  <si>
    <t xml:space="preserve">water supply</t>
  </si>
  <si>
    <t xml:space="preserve">wellbeing</t>
  </si>
  <si>
    <t xml:space="preserve">workforce</t>
  </si>
  <si>
    <t xml:space="preserve">project_count</t>
  </si>
  <si>
    <t xml:space="preserve">file_count</t>
  </si>
  <si>
    <t xml:space="preserve">avg_confidence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</si>
</sst>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visionDistribution" displayName="DivisionDistribution" ref="A1:F21" headerRowCount="1" totalsRowCount="0" totalsRowShown="0">
  <autoFilter ref="A1:F21"/>
  <tableColumns count="6">
    <tableColumn id="1" name="isic_section"/>
    <tableColumn id="2" name="isic_division"/>
    <tableColumn id="3" name="division_name"/>
    <tableColumn id="4" name="project_count"/>
    <tableColumn id="5" name="file_count"/>
    <tableColumn id="6" name="avg_confidence"/>
  </tableColumns>
</table>
</file>

<file path=xl/tables/table2.xml><?xml version="1.0" encoding="utf-8"?>
<table xmlns="http://schemas.openxmlformats.org/spreadsheetml/2006/main" id="2" name="FileClassifications" displayName="FileClassifications" ref="A1:J946" headerRowCount="1" totalsRowCount="0" totalsRowShown="0">
  <autoFilter ref="A1:J946"/>
  <tableColumns count="10">
    <tableColumn id="1" name="file_id"/>
    <tableColumn id="2" name="project_id"/>
    <tableColumn id="3" name="project_title"/>
    <tableColumn id="4" name="file_name"/>
    <tableColumn id="5" name="file_type"/>
    <tableColumn id="6" name="isic_section"/>
    <tableColumn id="7" name="isic_division"/>
    <tableColumn id="8" name="division_name"/>
    <tableColumn id="9" name="confidence"/>
    <tableColumn id="10" name="method"/>
  </tableColumns>
</table>
</file>

<file path=xl/tables/table3.xml><?xml version="1.0" encoding="utf-8"?>
<table xmlns="http://schemas.openxmlformats.org/spreadsheetml/2006/main" id="3" name="ProjectClassifications" displayName="ProjectClassifications" ref="A1:K231" headerRowCount="1" totalsRowCount="0" totalsRowShown="0">
  <autoFilter ref="A1:K231"/>
  <tableColumns count="11">
    <tableColumn id="1" name="project_id"/>
    <tableColumn id="2" name="title"/>
    <tableColumn id="3" name="repository"/>
    <tableColumn id="4" name="download_method"/>
    <tableColumn id="5" name="doi"/>
    <tableColumn id="6" name="isic_section"/>
    <tableColumn id="7" name="section_name"/>
    <tableColumn id="8" name="isic_division"/>
    <tableColumn id="9" name="division_name"/>
    <tableColumn id="10" name="confidence"/>
    <tableColumn id="11" name="method"/>
  </tableColumns>
</table>
</file>

<file path=xl/tables/table4.xml><?xml version="1.0" encoding="utf-8"?>
<table xmlns="http://schemas.openxmlformats.org/spreadsheetml/2006/main" id="4" name="ProjectTags" displayName="ProjectTags" ref="A1:B1501" headerRowCount="1" totalsRowCount="0" totalsRowShown="0">
  <autoFilter ref="A1:B1501"/>
  <tableColumns count="2">
    <tableColumn id="1" name="project_id"/>
    <tableColumn id="2" name="tag"/>
  </tableColumns>
</table>
</file>

<file path=xl/tables/table5.xml><?xml version="1.0" encoding="utf-8"?>
<table xmlns="http://schemas.openxmlformats.org/spreadsheetml/2006/main" id="5" name="SectionDistribution" displayName="SectionDistribution" ref="A1:D17" headerRowCount="1" totalsRowCount="0" totalsRowShown="0">
  <autoFilter ref="A1:D17"/>
  <tableColumns count="4">
    <tableColumn id="1" name="isic_section"/>
    <tableColumn id="2" name="section_name"/>
    <tableColumn id="3" name="project_count"/>
    <tableColumn id="4" name="file_count"/>
  </tableColumns>
</table>
</file>

<file path=xl/tables/table6.xml><?xml version="1.0" encoding="utf-8"?>
<table xmlns="http://schemas.openxmlformats.org/spreadsheetml/2006/main" id="6" name="Tags" displayName="Tags" ref="A1:B127" headerRowCount="1" totalsRowCount="0" totalsRowShown="0">
  <autoFilter ref="A1:B127"/>
  <tableColumns count="2">
    <tableColumn id="1" name="tag"/>
    <tableColumn id="2" name="project_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n">
        <f aca="false">COUNTA('Project Classifications'!$A$2:$A$100000)</f>
        <v>230</v>
      </c>
    </row>
    <row r="7" customFormat="false" ht="15" hidden="false" customHeight="false" outlineLevel="0" collapsed="false">
      <c r="A7" s="4" t="s">
        <v>6</v>
      </c>
      <c r="B7" s="5" t="n">
        <f aca="false">COUNTIFS('Project Classifications'!$F$2:$F$100000,"&lt;&gt;UNCLASSIFIED",'Project Classifications'!$F$2:$F$100000,"&lt;&gt;")</f>
        <v>228</v>
      </c>
    </row>
    <row r="8" customFormat="false" ht="15" hidden="false" customHeight="false" outlineLevel="0" collapsed="false">
      <c r="A8" s="4" t="s">
        <v>7</v>
      </c>
      <c r="B8" s="5" t="n">
        <f aca="false">COUNTIF('Project Classifications'!$F$2:$F$100000,"UNCLASSIFIED")</f>
        <v>2</v>
      </c>
    </row>
    <row r="9" customFormat="false" ht="15" hidden="false" customHeight="false" outlineLevel="0" collapsed="false">
      <c r="A9" s="4" t="s">
        <v>8</v>
      </c>
      <c r="B9" s="5" t="n">
        <f aca="false">COUNTA('File Classifications'!$A$2:$A$100000)</f>
        <v>945</v>
      </c>
    </row>
    <row r="10" customFormat="false" ht="15" hidden="false" customHeight="false" outlineLevel="0" collapsed="false">
      <c r="A10" s="4" t="s">
        <v>9</v>
      </c>
      <c r="B10" s="5" t="n">
        <f aca="false">COUNTIF('File Classifications'!$J$2:$J$100000,"RULE_BASED_KEYWORDS")</f>
        <v>885</v>
      </c>
    </row>
    <row r="11" customFormat="false" ht="15" hidden="false" customHeight="false" outlineLevel="0" collapsed="false">
      <c r="A11" s="4" t="s">
        <v>10</v>
      </c>
      <c r="B11" s="5" t="n">
        <f aca="false">COUNTIF('File Classifications'!$J$2:$J$100000,"NO_TEXT_CONTENT")</f>
        <v>60</v>
      </c>
    </row>
    <row r="12" customFormat="false" ht="15" hidden="false" customHeight="false" outlineLevel="0" collapsed="false">
      <c r="A12" s="4" t="s">
        <v>11</v>
      </c>
      <c r="B12" s="5" t="n">
        <f aca="false">COUNTA(Tags!$A$2:$A$100000)</f>
        <v>126</v>
      </c>
    </row>
    <row r="13" customFormat="false" ht="15" hidden="false" customHeight="false" outlineLevel="0" collapsed="false">
      <c r="A13" s="4" t="s">
        <v>12</v>
      </c>
      <c r="B13" s="5" t="n">
        <f aca="false">COUNTA('Section Distribution'!$A$2:$A$100000)</f>
        <v>16</v>
      </c>
    </row>
    <row r="14" customFormat="false" ht="15" hidden="false" customHeight="false" outlineLevel="0" collapsed="false">
      <c r="A14" s="4" t="s">
        <v>13</v>
      </c>
      <c r="B14" s="5" t="n">
        <f aca="false">COUNTA('Division Distribution'!$A$2:$A$100000)</f>
        <v>20</v>
      </c>
    </row>
    <row r="16" customFormat="false" ht="45" hidden="false" customHeight="true" outlineLevel="0" collapsed="false">
      <c r="A16" s="6" t="s">
        <v>14</v>
      </c>
      <c r="B16" s="6"/>
    </row>
  </sheetData>
  <mergeCells count="1"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42"/>
    <col collapsed="false" customWidth="true" hidden="false" outlineLevel="0" max="8" min="8" style="0" width="12"/>
    <col collapsed="false" customWidth="true" hidden="false" outlineLevel="0" max="9" min="9" style="0" width="42"/>
    <col collapsed="false" customWidth="true" hidden="false" outlineLevel="0" max="10" min="10" style="0" width="11"/>
    <col collapsed="false" customWidth="true" hidden="false" outlineLevel="0" max="11" min="11" style="0" width="20"/>
  </cols>
  <sheetData>
    <row r="1" customFormat="false" ht="23.85" hidden="false" customHeight="false" outlineLevel="0" collapsed="false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</row>
    <row r="2" customFormat="false" ht="15" hidden="false" customHeight="false" outlineLevel="0" collapsed="false">
      <c r="A2" s="8" t="n">
        <v>1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31</v>
      </c>
      <c r="J2" s="9" t="n">
        <v>0.176470588235294</v>
      </c>
      <c r="K2" s="8" t="s">
        <v>33</v>
      </c>
    </row>
    <row r="3" customFormat="false" ht="15" hidden="false" customHeight="false" outlineLevel="0" collapsed="false">
      <c r="A3" s="8" t="n">
        <v>2</v>
      </c>
      <c r="B3" s="8" t="s">
        <v>34</v>
      </c>
      <c r="C3" s="8" t="s">
        <v>27</v>
      </c>
      <c r="D3" s="8" t="s">
        <v>28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9" t="n">
        <v>0.375</v>
      </c>
      <c r="K3" s="8" t="s">
        <v>33</v>
      </c>
    </row>
    <row r="4" customFormat="false" ht="15" hidden="false" customHeight="false" outlineLevel="0" collapsed="false">
      <c r="A4" s="8" t="n">
        <v>3</v>
      </c>
      <c r="B4" s="8" t="s">
        <v>40</v>
      </c>
      <c r="C4" s="8" t="s">
        <v>27</v>
      </c>
      <c r="D4" s="8" t="s">
        <v>28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9" t="n">
        <v>0.333333333333333</v>
      </c>
      <c r="K4" s="8" t="s">
        <v>33</v>
      </c>
    </row>
    <row r="5" customFormat="false" ht="15" hidden="false" customHeight="false" outlineLevel="0" collapsed="false">
      <c r="A5" s="8" t="n">
        <v>4</v>
      </c>
      <c r="B5" s="8" t="s">
        <v>46</v>
      </c>
      <c r="C5" s="8" t="s">
        <v>27</v>
      </c>
      <c r="D5" s="8" t="s">
        <v>28</v>
      </c>
      <c r="E5" s="8" t="s">
        <v>47</v>
      </c>
      <c r="F5" s="8" t="s">
        <v>48</v>
      </c>
      <c r="G5" s="8" t="s">
        <v>49</v>
      </c>
      <c r="H5" s="8" t="s">
        <v>50</v>
      </c>
      <c r="I5" s="8" t="s">
        <v>49</v>
      </c>
      <c r="J5" s="9" t="n">
        <v>0.625</v>
      </c>
      <c r="K5" s="8" t="s">
        <v>33</v>
      </c>
    </row>
    <row r="6" customFormat="false" ht="15" hidden="false" customHeight="false" outlineLevel="0" collapsed="false">
      <c r="A6" s="8" t="n">
        <v>5</v>
      </c>
      <c r="B6" s="8" t="s">
        <v>51</v>
      </c>
      <c r="C6" s="8" t="s">
        <v>27</v>
      </c>
      <c r="D6" s="8" t="s">
        <v>28</v>
      </c>
      <c r="E6" s="8" t="s">
        <v>52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0.285714285714286</v>
      </c>
      <c r="K6" s="8" t="s">
        <v>33</v>
      </c>
    </row>
    <row r="7" customFormat="false" ht="15" hidden="false" customHeight="false" outlineLevel="0" collapsed="false">
      <c r="A7" s="8" t="n">
        <v>6</v>
      </c>
      <c r="B7" s="8" t="s">
        <v>57</v>
      </c>
      <c r="C7" s="8" t="s">
        <v>27</v>
      </c>
      <c r="D7" s="8" t="s">
        <v>28</v>
      </c>
      <c r="E7" s="8" t="s">
        <v>58</v>
      </c>
      <c r="F7" s="8" t="s">
        <v>42</v>
      </c>
      <c r="G7" s="8" t="s">
        <v>43</v>
      </c>
      <c r="H7" s="8" t="s">
        <v>44</v>
      </c>
      <c r="I7" s="8" t="s">
        <v>45</v>
      </c>
      <c r="J7" s="9" t="n">
        <v>0.277777777777778</v>
      </c>
      <c r="K7" s="8" t="s">
        <v>33</v>
      </c>
    </row>
    <row r="8" customFormat="false" ht="15" hidden="false" customHeight="false" outlineLevel="0" collapsed="false">
      <c r="A8" s="8" t="n">
        <v>7</v>
      </c>
      <c r="B8" s="8" t="s">
        <v>59</v>
      </c>
      <c r="C8" s="8" t="s">
        <v>27</v>
      </c>
      <c r="D8" s="8" t="s">
        <v>28</v>
      </c>
      <c r="E8" s="8" t="s">
        <v>60</v>
      </c>
      <c r="F8" s="8" t="s">
        <v>42</v>
      </c>
      <c r="G8" s="8" t="s">
        <v>43</v>
      </c>
      <c r="H8" s="8" t="s">
        <v>44</v>
      </c>
      <c r="I8" s="8" t="s">
        <v>45</v>
      </c>
      <c r="J8" s="9" t="n">
        <v>0.333333333333333</v>
      </c>
      <c r="K8" s="8" t="s">
        <v>33</v>
      </c>
    </row>
    <row r="9" customFormat="false" ht="15" hidden="false" customHeight="false" outlineLevel="0" collapsed="false">
      <c r="A9" s="8" t="n">
        <v>8</v>
      </c>
      <c r="B9" s="8" t="s">
        <v>61</v>
      </c>
      <c r="C9" s="8" t="s">
        <v>27</v>
      </c>
      <c r="D9" s="8" t="s">
        <v>28</v>
      </c>
      <c r="E9" s="8" t="s">
        <v>62</v>
      </c>
      <c r="F9" s="8" t="s">
        <v>42</v>
      </c>
      <c r="G9" s="8" t="s">
        <v>43</v>
      </c>
      <c r="H9" s="8" t="s">
        <v>44</v>
      </c>
      <c r="I9" s="8" t="s">
        <v>45</v>
      </c>
      <c r="J9" s="9" t="n">
        <v>0.222222222222222</v>
      </c>
      <c r="K9" s="8" t="s">
        <v>33</v>
      </c>
    </row>
    <row r="10" customFormat="false" ht="15" hidden="false" customHeight="false" outlineLevel="0" collapsed="false">
      <c r="A10" s="8" t="n">
        <v>9</v>
      </c>
      <c r="B10" s="8" t="s">
        <v>63</v>
      </c>
      <c r="C10" s="8" t="s">
        <v>27</v>
      </c>
      <c r="D10" s="8" t="s">
        <v>28</v>
      </c>
      <c r="E10" s="8" t="s">
        <v>64</v>
      </c>
      <c r="F10" s="8" t="s">
        <v>48</v>
      </c>
      <c r="G10" s="8" t="s">
        <v>49</v>
      </c>
      <c r="H10" s="8" t="s">
        <v>50</v>
      </c>
      <c r="I10" s="8" t="s">
        <v>49</v>
      </c>
      <c r="J10" s="9" t="n">
        <v>0.125</v>
      </c>
      <c r="K10" s="8" t="s">
        <v>33</v>
      </c>
    </row>
    <row r="11" customFormat="false" ht="15" hidden="false" customHeight="false" outlineLevel="0" collapsed="false">
      <c r="A11" s="8" t="n">
        <v>10</v>
      </c>
      <c r="B11" s="8" t="s">
        <v>65</v>
      </c>
      <c r="C11" s="8" t="s">
        <v>27</v>
      </c>
      <c r="D11" s="8" t="s">
        <v>28</v>
      </c>
      <c r="E11" s="8" t="s">
        <v>66</v>
      </c>
      <c r="F11" s="8" t="s">
        <v>48</v>
      </c>
      <c r="G11" s="8" t="s">
        <v>49</v>
      </c>
      <c r="H11" s="8" t="s">
        <v>50</v>
      </c>
      <c r="I11" s="8" t="s">
        <v>49</v>
      </c>
      <c r="J11" s="9" t="n">
        <v>0.3125</v>
      </c>
      <c r="K11" s="8" t="s">
        <v>33</v>
      </c>
    </row>
    <row r="12" customFormat="false" ht="15" hidden="false" customHeight="false" outlineLevel="0" collapsed="false">
      <c r="A12" s="8" t="n">
        <v>11</v>
      </c>
      <c r="B12" s="8" t="s">
        <v>67</v>
      </c>
      <c r="C12" s="8" t="s">
        <v>27</v>
      </c>
      <c r="D12" s="8" t="s">
        <v>28</v>
      </c>
      <c r="E12" s="8" t="s">
        <v>68</v>
      </c>
      <c r="F12" s="8" t="s">
        <v>48</v>
      </c>
      <c r="G12" s="8" t="s">
        <v>49</v>
      </c>
      <c r="H12" s="8" t="s">
        <v>50</v>
      </c>
      <c r="I12" s="8" t="s">
        <v>49</v>
      </c>
      <c r="J12" s="9" t="n">
        <v>0.25</v>
      </c>
      <c r="K12" s="8" t="s">
        <v>33</v>
      </c>
    </row>
    <row r="13" customFormat="false" ht="15" hidden="false" customHeight="false" outlineLevel="0" collapsed="false">
      <c r="A13" s="8" t="n">
        <v>12</v>
      </c>
      <c r="B13" s="8" t="s">
        <v>69</v>
      </c>
      <c r="C13" s="8" t="s">
        <v>27</v>
      </c>
      <c r="D13" s="8" t="s">
        <v>28</v>
      </c>
      <c r="E13" s="8" t="s">
        <v>70</v>
      </c>
      <c r="F13" s="8" t="s">
        <v>71</v>
      </c>
      <c r="G13" s="8" t="s">
        <v>72</v>
      </c>
      <c r="H13" s="8" t="s">
        <v>73</v>
      </c>
      <c r="I13" s="8" t="s">
        <v>74</v>
      </c>
      <c r="J13" s="9" t="n">
        <v>0.0714285714285714</v>
      </c>
      <c r="K13" s="8" t="s">
        <v>33</v>
      </c>
    </row>
    <row r="14" customFormat="false" ht="15" hidden="false" customHeight="false" outlineLevel="0" collapsed="false">
      <c r="A14" s="8" t="n">
        <v>13</v>
      </c>
      <c r="B14" s="8" t="s">
        <v>75</v>
      </c>
      <c r="C14" s="8" t="s">
        <v>27</v>
      </c>
      <c r="D14" s="8" t="s">
        <v>28</v>
      </c>
      <c r="E14" s="8" t="s">
        <v>76</v>
      </c>
      <c r="F14" s="8" t="s">
        <v>42</v>
      </c>
      <c r="G14" s="8" t="s">
        <v>43</v>
      </c>
      <c r="H14" s="8" t="s">
        <v>44</v>
      </c>
      <c r="I14" s="8" t="s">
        <v>45</v>
      </c>
      <c r="J14" s="9" t="n">
        <v>0.222222222222222</v>
      </c>
      <c r="K14" s="8" t="s">
        <v>33</v>
      </c>
    </row>
    <row r="15" customFormat="false" ht="15" hidden="false" customHeight="false" outlineLevel="0" collapsed="false">
      <c r="A15" s="8" t="n">
        <v>14</v>
      </c>
      <c r="B15" s="8" t="s">
        <v>77</v>
      </c>
      <c r="C15" s="8" t="s">
        <v>27</v>
      </c>
      <c r="D15" s="8" t="s">
        <v>28</v>
      </c>
      <c r="E15" s="8" t="s">
        <v>78</v>
      </c>
      <c r="F15" s="8" t="s">
        <v>42</v>
      </c>
      <c r="G15" s="8" t="s">
        <v>43</v>
      </c>
      <c r="H15" s="8" t="s">
        <v>44</v>
      </c>
      <c r="I15" s="8" t="s">
        <v>45</v>
      </c>
      <c r="J15" s="9" t="n">
        <v>0.277777777777778</v>
      </c>
      <c r="K15" s="8" t="s">
        <v>33</v>
      </c>
    </row>
    <row r="16" customFormat="false" ht="15" hidden="false" customHeight="false" outlineLevel="0" collapsed="false">
      <c r="A16" s="8" t="n">
        <v>15</v>
      </c>
      <c r="B16" s="8" t="s">
        <v>79</v>
      </c>
      <c r="C16" s="8" t="s">
        <v>27</v>
      </c>
      <c r="D16" s="8" t="s">
        <v>28</v>
      </c>
      <c r="E16" s="8" t="s">
        <v>80</v>
      </c>
      <c r="F16" s="8" t="s">
        <v>42</v>
      </c>
      <c r="G16" s="8" t="s">
        <v>43</v>
      </c>
      <c r="H16" s="8" t="s">
        <v>44</v>
      </c>
      <c r="I16" s="8" t="s">
        <v>45</v>
      </c>
      <c r="J16" s="9" t="n">
        <v>0.277777777777778</v>
      </c>
      <c r="K16" s="8" t="s">
        <v>33</v>
      </c>
    </row>
    <row r="17" customFormat="false" ht="15" hidden="false" customHeight="false" outlineLevel="0" collapsed="false">
      <c r="A17" s="8" t="n">
        <v>16</v>
      </c>
      <c r="B17" s="8" t="s">
        <v>81</v>
      </c>
      <c r="C17" s="8" t="s">
        <v>27</v>
      </c>
      <c r="D17" s="8" t="s">
        <v>28</v>
      </c>
      <c r="E17" s="8" t="s">
        <v>82</v>
      </c>
      <c r="F17" s="8" t="s">
        <v>71</v>
      </c>
      <c r="G17" s="8" t="s">
        <v>72</v>
      </c>
      <c r="H17" s="8" t="s">
        <v>83</v>
      </c>
      <c r="I17" s="8" t="s">
        <v>84</v>
      </c>
      <c r="J17" s="9" t="n">
        <v>0.25</v>
      </c>
      <c r="K17" s="8" t="s">
        <v>33</v>
      </c>
    </row>
    <row r="18" customFormat="false" ht="15" hidden="false" customHeight="false" outlineLevel="0" collapsed="false">
      <c r="A18" s="8" t="n">
        <v>17</v>
      </c>
      <c r="B18" s="8" t="s">
        <v>85</v>
      </c>
      <c r="C18" s="8" t="s">
        <v>27</v>
      </c>
      <c r="D18" s="8" t="s">
        <v>28</v>
      </c>
      <c r="E18" s="8" t="s">
        <v>86</v>
      </c>
      <c r="F18" s="8" t="s">
        <v>42</v>
      </c>
      <c r="G18" s="8" t="s">
        <v>43</v>
      </c>
      <c r="H18" s="8" t="s">
        <v>44</v>
      </c>
      <c r="I18" s="8" t="s">
        <v>45</v>
      </c>
      <c r="J18" s="9" t="n">
        <v>0.611111111111111</v>
      </c>
      <c r="K18" s="8" t="s">
        <v>33</v>
      </c>
    </row>
    <row r="19" customFormat="false" ht="15" hidden="false" customHeight="false" outlineLevel="0" collapsed="false">
      <c r="A19" s="8" t="n">
        <v>18</v>
      </c>
      <c r="B19" s="8" t="s">
        <v>87</v>
      </c>
      <c r="C19" s="8" t="s">
        <v>27</v>
      </c>
      <c r="D19" s="8" t="s">
        <v>28</v>
      </c>
      <c r="E19" s="8" t="s">
        <v>88</v>
      </c>
      <c r="F19" s="8" t="s">
        <v>42</v>
      </c>
      <c r="G19" s="8" t="s">
        <v>43</v>
      </c>
      <c r="H19" s="8" t="s">
        <v>44</v>
      </c>
      <c r="I19" s="8" t="s">
        <v>45</v>
      </c>
      <c r="J19" s="9" t="n">
        <v>0.222222222222222</v>
      </c>
      <c r="K19" s="8" t="s">
        <v>33</v>
      </c>
    </row>
    <row r="20" customFormat="false" ht="15" hidden="false" customHeight="false" outlineLevel="0" collapsed="false">
      <c r="A20" s="8" t="n">
        <v>19</v>
      </c>
      <c r="B20" s="8" t="s">
        <v>89</v>
      </c>
      <c r="C20" s="8" t="s">
        <v>27</v>
      </c>
      <c r="D20" s="8" t="s">
        <v>28</v>
      </c>
      <c r="E20" s="8" t="s">
        <v>90</v>
      </c>
      <c r="F20" s="8" t="s">
        <v>42</v>
      </c>
      <c r="G20" s="8" t="s">
        <v>43</v>
      </c>
      <c r="H20" s="8" t="s">
        <v>44</v>
      </c>
      <c r="I20" s="8" t="s">
        <v>45</v>
      </c>
      <c r="J20" s="9" t="n">
        <v>0.166666666666667</v>
      </c>
      <c r="K20" s="8" t="s">
        <v>33</v>
      </c>
    </row>
    <row r="21" customFormat="false" ht="15" hidden="false" customHeight="false" outlineLevel="0" collapsed="false">
      <c r="A21" s="8" t="n">
        <v>20</v>
      </c>
      <c r="B21" s="8" t="s">
        <v>91</v>
      </c>
      <c r="C21" s="8" t="s">
        <v>27</v>
      </c>
      <c r="D21" s="8" t="s">
        <v>28</v>
      </c>
      <c r="E21" s="8" t="s">
        <v>92</v>
      </c>
      <c r="F21" s="8" t="s">
        <v>42</v>
      </c>
      <c r="G21" s="8" t="s">
        <v>43</v>
      </c>
      <c r="H21" s="8" t="s">
        <v>44</v>
      </c>
      <c r="I21" s="8" t="s">
        <v>45</v>
      </c>
      <c r="J21" s="9" t="n">
        <v>0.166666666666667</v>
      </c>
      <c r="K21" s="8" t="s">
        <v>33</v>
      </c>
    </row>
    <row r="22" customFormat="false" ht="15" hidden="false" customHeight="false" outlineLevel="0" collapsed="false">
      <c r="A22" s="8" t="n">
        <v>21</v>
      </c>
      <c r="B22" s="8" t="s">
        <v>93</v>
      </c>
      <c r="C22" s="8" t="s">
        <v>27</v>
      </c>
      <c r="D22" s="8" t="s">
        <v>28</v>
      </c>
      <c r="E22" s="8" t="s">
        <v>94</v>
      </c>
      <c r="F22" s="8" t="s">
        <v>42</v>
      </c>
      <c r="G22" s="8" t="s">
        <v>43</v>
      </c>
      <c r="H22" s="8" t="s">
        <v>44</v>
      </c>
      <c r="I22" s="8" t="s">
        <v>45</v>
      </c>
      <c r="J22" s="9" t="n">
        <v>0.222222222222222</v>
      </c>
      <c r="K22" s="8" t="s">
        <v>33</v>
      </c>
    </row>
    <row r="23" customFormat="false" ht="15" hidden="false" customHeight="false" outlineLevel="0" collapsed="false">
      <c r="A23" s="8" t="n">
        <v>22</v>
      </c>
      <c r="B23" s="8" t="s">
        <v>95</v>
      </c>
      <c r="C23" s="8" t="s">
        <v>27</v>
      </c>
      <c r="D23" s="8" t="s">
        <v>28</v>
      </c>
      <c r="E23" s="8" t="s">
        <v>96</v>
      </c>
      <c r="F23" s="8" t="s">
        <v>97</v>
      </c>
      <c r="G23" s="8" t="s">
        <v>98</v>
      </c>
      <c r="H23" s="8" t="s">
        <v>99</v>
      </c>
      <c r="I23" s="8" t="s">
        <v>100</v>
      </c>
      <c r="J23" s="9" t="n">
        <v>0.142857142857143</v>
      </c>
      <c r="K23" s="8" t="s">
        <v>33</v>
      </c>
    </row>
    <row r="24" customFormat="false" ht="15" hidden="false" customHeight="false" outlineLevel="0" collapsed="false">
      <c r="A24" s="8" t="n">
        <v>23</v>
      </c>
      <c r="B24" s="8" t="s">
        <v>101</v>
      </c>
      <c r="C24" s="8" t="s">
        <v>27</v>
      </c>
      <c r="D24" s="8" t="s">
        <v>28</v>
      </c>
      <c r="E24" s="8" t="s">
        <v>102</v>
      </c>
      <c r="F24" s="8" t="s">
        <v>42</v>
      </c>
      <c r="G24" s="8" t="s">
        <v>43</v>
      </c>
      <c r="H24" s="8" t="s">
        <v>44</v>
      </c>
      <c r="I24" s="8" t="s">
        <v>45</v>
      </c>
      <c r="J24" s="9" t="n">
        <v>0.333333333333333</v>
      </c>
      <c r="K24" s="8" t="s">
        <v>33</v>
      </c>
    </row>
    <row r="25" customFormat="false" ht="15" hidden="false" customHeight="false" outlineLevel="0" collapsed="false">
      <c r="A25" s="8" t="n">
        <v>24</v>
      </c>
      <c r="B25" s="8" t="s">
        <v>103</v>
      </c>
      <c r="C25" s="8" t="s">
        <v>27</v>
      </c>
      <c r="D25" s="8" t="s">
        <v>28</v>
      </c>
      <c r="E25" s="8" t="s">
        <v>104</v>
      </c>
      <c r="F25" s="8" t="s">
        <v>48</v>
      </c>
      <c r="G25" s="8" t="s">
        <v>49</v>
      </c>
      <c r="H25" s="8" t="s">
        <v>50</v>
      </c>
      <c r="I25" s="8" t="s">
        <v>49</v>
      </c>
      <c r="J25" s="9" t="n">
        <v>0.125</v>
      </c>
      <c r="K25" s="8" t="s">
        <v>33</v>
      </c>
    </row>
    <row r="26" customFormat="false" ht="15" hidden="false" customHeight="false" outlineLevel="0" collapsed="false">
      <c r="A26" s="8" t="n">
        <v>25</v>
      </c>
      <c r="B26" s="8" t="s">
        <v>105</v>
      </c>
      <c r="C26" s="8" t="s">
        <v>27</v>
      </c>
      <c r="D26" s="8" t="s">
        <v>28</v>
      </c>
      <c r="E26" s="8" t="s">
        <v>106</v>
      </c>
      <c r="F26" s="8" t="s">
        <v>42</v>
      </c>
      <c r="G26" s="8" t="s">
        <v>43</v>
      </c>
      <c r="H26" s="8" t="s">
        <v>44</v>
      </c>
      <c r="I26" s="8" t="s">
        <v>45</v>
      </c>
      <c r="J26" s="9" t="n">
        <v>0.388888888888889</v>
      </c>
      <c r="K26" s="8" t="s">
        <v>33</v>
      </c>
    </row>
    <row r="27" customFormat="false" ht="15" hidden="false" customHeight="false" outlineLevel="0" collapsed="false">
      <c r="A27" s="8" t="n">
        <v>26</v>
      </c>
      <c r="B27" s="8" t="s">
        <v>107</v>
      </c>
      <c r="C27" s="8" t="s">
        <v>27</v>
      </c>
      <c r="D27" s="8" t="s">
        <v>28</v>
      </c>
      <c r="E27" s="8" t="s">
        <v>108</v>
      </c>
      <c r="F27" s="8" t="s">
        <v>42</v>
      </c>
      <c r="G27" s="8" t="s">
        <v>43</v>
      </c>
      <c r="H27" s="8" t="s">
        <v>44</v>
      </c>
      <c r="I27" s="8" t="s">
        <v>45</v>
      </c>
      <c r="J27" s="9" t="n">
        <v>0.388888888888889</v>
      </c>
      <c r="K27" s="8" t="s">
        <v>33</v>
      </c>
    </row>
    <row r="28" customFormat="false" ht="15" hidden="false" customHeight="false" outlineLevel="0" collapsed="false">
      <c r="A28" s="8" t="n">
        <v>27</v>
      </c>
      <c r="B28" s="8" t="s">
        <v>109</v>
      </c>
      <c r="C28" s="8" t="s">
        <v>27</v>
      </c>
      <c r="D28" s="8" t="s">
        <v>28</v>
      </c>
      <c r="E28" s="8" t="s">
        <v>110</v>
      </c>
      <c r="F28" s="8" t="s">
        <v>42</v>
      </c>
      <c r="G28" s="8" t="s">
        <v>43</v>
      </c>
      <c r="H28" s="8" t="s">
        <v>44</v>
      </c>
      <c r="I28" s="8" t="s">
        <v>45</v>
      </c>
      <c r="J28" s="9" t="n">
        <v>0.277777777777778</v>
      </c>
      <c r="K28" s="8" t="s">
        <v>33</v>
      </c>
    </row>
    <row r="29" customFormat="false" ht="15" hidden="false" customHeight="false" outlineLevel="0" collapsed="false">
      <c r="A29" s="8" t="n">
        <v>28</v>
      </c>
      <c r="B29" s="8" t="s">
        <v>111</v>
      </c>
      <c r="C29" s="8" t="s">
        <v>27</v>
      </c>
      <c r="D29" s="8" t="s">
        <v>28</v>
      </c>
      <c r="E29" s="8" t="s">
        <v>112</v>
      </c>
      <c r="F29" s="8" t="s">
        <v>42</v>
      </c>
      <c r="G29" s="8" t="s">
        <v>43</v>
      </c>
      <c r="H29" s="8" t="s">
        <v>44</v>
      </c>
      <c r="I29" s="8" t="s">
        <v>45</v>
      </c>
      <c r="J29" s="9" t="n">
        <v>0.5</v>
      </c>
      <c r="K29" s="8" t="s">
        <v>33</v>
      </c>
    </row>
    <row r="30" customFormat="false" ht="15" hidden="false" customHeight="false" outlineLevel="0" collapsed="false">
      <c r="A30" s="8" t="n">
        <v>29</v>
      </c>
      <c r="B30" s="8" t="s">
        <v>113</v>
      </c>
      <c r="C30" s="8" t="s">
        <v>27</v>
      </c>
      <c r="D30" s="8" t="s">
        <v>28</v>
      </c>
      <c r="E30" s="8" t="s">
        <v>114</v>
      </c>
      <c r="F30" s="8" t="s">
        <v>42</v>
      </c>
      <c r="G30" s="8" t="s">
        <v>43</v>
      </c>
      <c r="H30" s="8" t="s">
        <v>44</v>
      </c>
      <c r="I30" s="8" t="s">
        <v>45</v>
      </c>
      <c r="J30" s="9" t="n">
        <v>0.388888888888889</v>
      </c>
      <c r="K30" s="8" t="s">
        <v>33</v>
      </c>
    </row>
    <row r="31" customFormat="false" ht="15" hidden="false" customHeight="false" outlineLevel="0" collapsed="false">
      <c r="A31" s="8" t="n">
        <v>30</v>
      </c>
      <c r="B31" s="8" t="s">
        <v>115</v>
      </c>
      <c r="C31" s="8" t="s">
        <v>27</v>
      </c>
      <c r="D31" s="8" t="s">
        <v>28</v>
      </c>
      <c r="E31" s="8" t="s">
        <v>116</v>
      </c>
      <c r="F31" s="8" t="s">
        <v>117</v>
      </c>
      <c r="G31" s="8" t="s">
        <v>118</v>
      </c>
      <c r="H31" s="8" t="s">
        <v>119</v>
      </c>
      <c r="I31" s="8" t="s">
        <v>120</v>
      </c>
      <c r="J31" s="9" t="n">
        <v>0.25</v>
      </c>
      <c r="K31" s="8" t="s">
        <v>33</v>
      </c>
    </row>
    <row r="32" customFormat="false" ht="15" hidden="false" customHeight="false" outlineLevel="0" collapsed="false">
      <c r="A32" s="8" t="n">
        <v>31</v>
      </c>
      <c r="B32" s="8" t="s">
        <v>121</v>
      </c>
      <c r="C32" s="8" t="s">
        <v>27</v>
      </c>
      <c r="D32" s="8" t="s">
        <v>28</v>
      </c>
      <c r="E32" s="8" t="s">
        <v>122</v>
      </c>
      <c r="F32" s="8" t="s">
        <v>42</v>
      </c>
      <c r="G32" s="8" t="s">
        <v>43</v>
      </c>
      <c r="H32" s="8" t="s">
        <v>44</v>
      </c>
      <c r="I32" s="8" t="s">
        <v>45</v>
      </c>
      <c r="J32" s="9" t="n">
        <v>0.444444444444444</v>
      </c>
      <c r="K32" s="8" t="s">
        <v>33</v>
      </c>
    </row>
    <row r="33" customFormat="false" ht="15" hidden="false" customHeight="false" outlineLevel="0" collapsed="false">
      <c r="A33" s="8" t="n">
        <v>32</v>
      </c>
      <c r="B33" s="8" t="s">
        <v>123</v>
      </c>
      <c r="C33" s="8" t="s">
        <v>27</v>
      </c>
      <c r="D33" s="8" t="s">
        <v>28</v>
      </c>
      <c r="E33" s="8" t="s">
        <v>124</v>
      </c>
      <c r="F33" s="8" t="s">
        <v>53</v>
      </c>
      <c r="G33" s="8" t="s">
        <v>54</v>
      </c>
      <c r="H33" s="8" t="s">
        <v>55</v>
      </c>
      <c r="I33" s="8" t="s">
        <v>56</v>
      </c>
      <c r="J33" s="9" t="n">
        <v>0.285714285714286</v>
      </c>
      <c r="K33" s="8" t="s">
        <v>33</v>
      </c>
    </row>
    <row r="34" customFormat="false" ht="15" hidden="false" customHeight="false" outlineLevel="0" collapsed="false">
      <c r="A34" s="8" t="n">
        <v>33</v>
      </c>
      <c r="B34" s="8" t="s">
        <v>125</v>
      </c>
      <c r="C34" s="8" t="s">
        <v>27</v>
      </c>
      <c r="D34" s="8" t="s">
        <v>28</v>
      </c>
      <c r="E34" s="8" t="s">
        <v>126</v>
      </c>
      <c r="F34" s="8" t="s">
        <v>42</v>
      </c>
      <c r="G34" s="8" t="s">
        <v>43</v>
      </c>
      <c r="H34" s="8" t="s">
        <v>44</v>
      </c>
      <c r="I34" s="8" t="s">
        <v>45</v>
      </c>
      <c r="J34" s="9" t="n">
        <v>0.222222222222222</v>
      </c>
      <c r="K34" s="8" t="s">
        <v>33</v>
      </c>
    </row>
    <row r="35" customFormat="false" ht="15" hidden="false" customHeight="false" outlineLevel="0" collapsed="false">
      <c r="A35" s="8" t="n">
        <v>34</v>
      </c>
      <c r="B35" s="8" t="s">
        <v>127</v>
      </c>
      <c r="C35" s="8" t="s">
        <v>27</v>
      </c>
      <c r="D35" s="8" t="s">
        <v>28</v>
      </c>
      <c r="E35" s="8" t="s">
        <v>128</v>
      </c>
      <c r="F35" s="8" t="s">
        <v>42</v>
      </c>
      <c r="G35" s="8" t="s">
        <v>43</v>
      </c>
      <c r="H35" s="8" t="s">
        <v>44</v>
      </c>
      <c r="I35" s="8" t="s">
        <v>45</v>
      </c>
      <c r="J35" s="9" t="n">
        <v>0.333333333333333</v>
      </c>
      <c r="K35" s="8" t="s">
        <v>33</v>
      </c>
    </row>
    <row r="36" customFormat="false" ht="15" hidden="false" customHeight="false" outlineLevel="0" collapsed="false">
      <c r="A36" s="8" t="n">
        <v>35</v>
      </c>
      <c r="B36" s="8" t="s">
        <v>129</v>
      </c>
      <c r="C36" s="8" t="s">
        <v>27</v>
      </c>
      <c r="D36" s="8" t="s">
        <v>28</v>
      </c>
      <c r="E36" s="8" t="s">
        <v>130</v>
      </c>
      <c r="F36" s="8" t="s">
        <v>53</v>
      </c>
      <c r="G36" s="8" t="s">
        <v>54</v>
      </c>
      <c r="H36" s="8" t="s">
        <v>55</v>
      </c>
      <c r="I36" s="8" t="s">
        <v>56</v>
      </c>
      <c r="J36" s="9" t="n">
        <v>0.285714285714286</v>
      </c>
      <c r="K36" s="8" t="s">
        <v>33</v>
      </c>
    </row>
    <row r="37" customFormat="false" ht="15" hidden="false" customHeight="false" outlineLevel="0" collapsed="false">
      <c r="A37" s="8" t="n">
        <v>36</v>
      </c>
      <c r="B37" s="8" t="s">
        <v>131</v>
      </c>
      <c r="C37" s="8" t="s">
        <v>27</v>
      </c>
      <c r="D37" s="8" t="s">
        <v>28</v>
      </c>
      <c r="E37" s="8" t="s">
        <v>132</v>
      </c>
      <c r="F37" s="8" t="s">
        <v>48</v>
      </c>
      <c r="G37" s="8" t="s">
        <v>49</v>
      </c>
      <c r="H37" s="8" t="s">
        <v>50</v>
      </c>
      <c r="I37" s="8" t="s">
        <v>49</v>
      </c>
      <c r="J37" s="9" t="n">
        <v>0.125</v>
      </c>
      <c r="K37" s="8" t="s">
        <v>33</v>
      </c>
    </row>
    <row r="38" customFormat="false" ht="15" hidden="false" customHeight="false" outlineLevel="0" collapsed="false">
      <c r="A38" s="8" t="n">
        <v>37</v>
      </c>
      <c r="B38" s="8" t="s">
        <v>133</v>
      </c>
      <c r="C38" s="8" t="s">
        <v>27</v>
      </c>
      <c r="D38" s="8" t="s">
        <v>28</v>
      </c>
      <c r="E38" s="8" t="s">
        <v>134</v>
      </c>
      <c r="F38" s="8" t="s">
        <v>48</v>
      </c>
      <c r="G38" s="8" t="s">
        <v>49</v>
      </c>
      <c r="H38" s="8" t="s">
        <v>50</v>
      </c>
      <c r="I38" s="8" t="s">
        <v>49</v>
      </c>
      <c r="J38" s="9" t="n">
        <v>0.1875</v>
      </c>
      <c r="K38" s="8" t="s">
        <v>33</v>
      </c>
    </row>
    <row r="39" customFormat="false" ht="15" hidden="false" customHeight="false" outlineLevel="0" collapsed="false">
      <c r="A39" s="8" t="n">
        <v>38</v>
      </c>
      <c r="B39" s="8" t="s">
        <v>135</v>
      </c>
      <c r="C39" s="8" t="s">
        <v>27</v>
      </c>
      <c r="D39" s="8" t="s">
        <v>28</v>
      </c>
      <c r="E39" s="8" t="s">
        <v>136</v>
      </c>
      <c r="F39" s="8" t="s">
        <v>42</v>
      </c>
      <c r="G39" s="8" t="s">
        <v>43</v>
      </c>
      <c r="H39" s="8" t="s">
        <v>44</v>
      </c>
      <c r="I39" s="8" t="s">
        <v>45</v>
      </c>
      <c r="J39" s="9" t="n">
        <v>0.388888888888889</v>
      </c>
      <c r="K39" s="8" t="s">
        <v>33</v>
      </c>
    </row>
    <row r="40" customFormat="false" ht="15" hidden="false" customHeight="false" outlineLevel="0" collapsed="false">
      <c r="A40" s="8" t="n">
        <v>39</v>
      </c>
      <c r="B40" s="8" t="s">
        <v>137</v>
      </c>
      <c r="C40" s="8" t="s">
        <v>27</v>
      </c>
      <c r="D40" s="8" t="s">
        <v>28</v>
      </c>
      <c r="E40" s="8" t="s">
        <v>138</v>
      </c>
      <c r="F40" s="8" t="s">
        <v>42</v>
      </c>
      <c r="G40" s="8" t="s">
        <v>43</v>
      </c>
      <c r="H40" s="8" t="s">
        <v>44</v>
      </c>
      <c r="I40" s="8" t="s">
        <v>45</v>
      </c>
      <c r="J40" s="9" t="n">
        <v>0.333333333333333</v>
      </c>
      <c r="K40" s="8" t="s">
        <v>33</v>
      </c>
    </row>
    <row r="41" customFormat="false" ht="15" hidden="false" customHeight="false" outlineLevel="0" collapsed="false">
      <c r="A41" s="8" t="n">
        <v>40</v>
      </c>
      <c r="B41" s="8" t="s">
        <v>139</v>
      </c>
      <c r="C41" s="8" t="s">
        <v>27</v>
      </c>
      <c r="D41" s="8" t="s">
        <v>28</v>
      </c>
      <c r="E41" s="8" t="s">
        <v>140</v>
      </c>
      <c r="F41" s="8" t="s">
        <v>42</v>
      </c>
      <c r="G41" s="8" t="s">
        <v>43</v>
      </c>
      <c r="H41" s="8" t="s">
        <v>44</v>
      </c>
      <c r="I41" s="8" t="s">
        <v>45</v>
      </c>
      <c r="J41" s="9" t="n">
        <v>0.333333333333333</v>
      </c>
      <c r="K41" s="8" t="s">
        <v>33</v>
      </c>
    </row>
    <row r="42" customFormat="false" ht="15" hidden="false" customHeight="false" outlineLevel="0" collapsed="false">
      <c r="A42" s="8" t="n">
        <v>41</v>
      </c>
      <c r="B42" s="8" t="s">
        <v>141</v>
      </c>
      <c r="C42" s="8" t="s">
        <v>27</v>
      </c>
      <c r="D42" s="8" t="s">
        <v>28</v>
      </c>
      <c r="E42" s="8" t="s">
        <v>142</v>
      </c>
      <c r="F42" s="8" t="s">
        <v>42</v>
      </c>
      <c r="G42" s="8" t="s">
        <v>43</v>
      </c>
      <c r="H42" s="8" t="s">
        <v>44</v>
      </c>
      <c r="I42" s="8" t="s">
        <v>45</v>
      </c>
      <c r="J42" s="9" t="n">
        <v>0.222222222222222</v>
      </c>
      <c r="K42" s="8" t="s">
        <v>33</v>
      </c>
    </row>
    <row r="43" customFormat="false" ht="15" hidden="false" customHeight="false" outlineLevel="0" collapsed="false">
      <c r="A43" s="8" t="n">
        <v>42</v>
      </c>
      <c r="B43" s="8" t="s">
        <v>143</v>
      </c>
      <c r="C43" s="8" t="s">
        <v>27</v>
      </c>
      <c r="D43" s="8" t="s">
        <v>28</v>
      </c>
      <c r="E43" s="8" t="s">
        <v>144</v>
      </c>
      <c r="F43" s="8" t="s">
        <v>48</v>
      </c>
      <c r="G43" s="8" t="s">
        <v>49</v>
      </c>
      <c r="H43" s="8" t="s">
        <v>50</v>
      </c>
      <c r="I43" s="8" t="s">
        <v>49</v>
      </c>
      <c r="J43" s="9" t="n">
        <v>0.1875</v>
      </c>
      <c r="K43" s="8" t="s">
        <v>33</v>
      </c>
    </row>
    <row r="44" customFormat="false" ht="15" hidden="false" customHeight="false" outlineLevel="0" collapsed="false">
      <c r="A44" s="8" t="n">
        <v>43</v>
      </c>
      <c r="B44" s="8" t="s">
        <v>145</v>
      </c>
      <c r="C44" s="8" t="s">
        <v>27</v>
      </c>
      <c r="D44" s="8" t="s">
        <v>28</v>
      </c>
      <c r="E44" s="8" t="s">
        <v>146</v>
      </c>
      <c r="F44" s="8" t="s">
        <v>48</v>
      </c>
      <c r="G44" s="8" t="s">
        <v>49</v>
      </c>
      <c r="H44" s="8" t="s">
        <v>50</v>
      </c>
      <c r="I44" s="8" t="s">
        <v>49</v>
      </c>
      <c r="J44" s="9" t="n">
        <v>0.375</v>
      </c>
      <c r="K44" s="8" t="s">
        <v>33</v>
      </c>
    </row>
    <row r="45" customFormat="false" ht="15" hidden="false" customHeight="false" outlineLevel="0" collapsed="false">
      <c r="A45" s="8" t="n">
        <v>44</v>
      </c>
      <c r="B45" s="8" t="s">
        <v>147</v>
      </c>
      <c r="C45" s="8" t="s">
        <v>27</v>
      </c>
      <c r="D45" s="8" t="s">
        <v>28</v>
      </c>
      <c r="E45" s="8" t="s">
        <v>148</v>
      </c>
      <c r="F45" s="8" t="s">
        <v>48</v>
      </c>
      <c r="G45" s="8" t="s">
        <v>49</v>
      </c>
      <c r="H45" s="8" t="s">
        <v>50</v>
      </c>
      <c r="I45" s="8" t="s">
        <v>49</v>
      </c>
      <c r="J45" s="9" t="n">
        <v>0.1875</v>
      </c>
      <c r="K45" s="8" t="s">
        <v>33</v>
      </c>
    </row>
    <row r="46" customFormat="false" ht="15" hidden="false" customHeight="false" outlineLevel="0" collapsed="false">
      <c r="A46" s="8" t="n">
        <v>45</v>
      </c>
      <c r="B46" s="8" t="s">
        <v>149</v>
      </c>
      <c r="C46" s="8" t="s">
        <v>27</v>
      </c>
      <c r="D46" s="8" t="s">
        <v>28</v>
      </c>
      <c r="E46" s="8" t="s">
        <v>150</v>
      </c>
      <c r="F46" s="8" t="s">
        <v>53</v>
      </c>
      <c r="G46" s="8" t="s">
        <v>54</v>
      </c>
      <c r="H46" s="8" t="s">
        <v>55</v>
      </c>
      <c r="I46" s="8" t="s">
        <v>56</v>
      </c>
      <c r="J46" s="9" t="n">
        <v>0.142857142857143</v>
      </c>
      <c r="K46" s="8" t="s">
        <v>33</v>
      </c>
    </row>
    <row r="47" customFormat="false" ht="15" hidden="false" customHeight="false" outlineLevel="0" collapsed="false">
      <c r="A47" s="8" t="n">
        <v>46</v>
      </c>
      <c r="B47" s="8" t="s">
        <v>151</v>
      </c>
      <c r="C47" s="8" t="s">
        <v>27</v>
      </c>
      <c r="D47" s="8" t="s">
        <v>28</v>
      </c>
      <c r="E47" s="8" t="s">
        <v>152</v>
      </c>
      <c r="F47" s="8" t="s">
        <v>42</v>
      </c>
      <c r="G47" s="8" t="s">
        <v>43</v>
      </c>
      <c r="H47" s="8" t="s">
        <v>44</v>
      </c>
      <c r="I47" s="8" t="s">
        <v>45</v>
      </c>
      <c r="J47" s="9" t="n">
        <v>0.333333333333333</v>
      </c>
      <c r="K47" s="8" t="s">
        <v>33</v>
      </c>
    </row>
    <row r="48" customFormat="false" ht="15" hidden="false" customHeight="false" outlineLevel="0" collapsed="false">
      <c r="A48" s="8" t="n">
        <v>47</v>
      </c>
      <c r="B48" s="8" t="s">
        <v>153</v>
      </c>
      <c r="C48" s="8" t="s">
        <v>27</v>
      </c>
      <c r="D48" s="8" t="s">
        <v>28</v>
      </c>
      <c r="E48" s="8" t="s">
        <v>154</v>
      </c>
      <c r="F48" s="8" t="s">
        <v>42</v>
      </c>
      <c r="G48" s="8" t="s">
        <v>43</v>
      </c>
      <c r="H48" s="8" t="s">
        <v>44</v>
      </c>
      <c r="I48" s="8" t="s">
        <v>45</v>
      </c>
      <c r="J48" s="9" t="n">
        <v>0.222222222222222</v>
      </c>
      <c r="K48" s="8" t="s">
        <v>33</v>
      </c>
    </row>
    <row r="49" customFormat="false" ht="15" hidden="false" customHeight="false" outlineLevel="0" collapsed="false">
      <c r="A49" s="8" t="n">
        <v>48</v>
      </c>
      <c r="B49" s="8" t="s">
        <v>155</v>
      </c>
      <c r="C49" s="8" t="s">
        <v>27</v>
      </c>
      <c r="D49" s="8" t="s">
        <v>28</v>
      </c>
      <c r="E49" s="8" t="s">
        <v>156</v>
      </c>
      <c r="F49" s="8" t="s">
        <v>53</v>
      </c>
      <c r="G49" s="8" t="s">
        <v>54</v>
      </c>
      <c r="H49" s="8" t="s">
        <v>55</v>
      </c>
      <c r="I49" s="8" t="s">
        <v>56</v>
      </c>
      <c r="J49" s="9" t="n">
        <v>0.285714285714286</v>
      </c>
      <c r="K49" s="8" t="s">
        <v>33</v>
      </c>
    </row>
    <row r="50" customFormat="false" ht="15" hidden="false" customHeight="false" outlineLevel="0" collapsed="false">
      <c r="A50" s="8" t="n">
        <v>49</v>
      </c>
      <c r="B50" s="8" t="s">
        <v>157</v>
      </c>
      <c r="C50" s="8" t="s">
        <v>27</v>
      </c>
      <c r="D50" s="8" t="s">
        <v>28</v>
      </c>
      <c r="E50" s="8" t="s">
        <v>158</v>
      </c>
      <c r="F50" s="8" t="s">
        <v>42</v>
      </c>
      <c r="G50" s="8" t="s">
        <v>43</v>
      </c>
      <c r="H50" s="8" t="s">
        <v>44</v>
      </c>
      <c r="I50" s="8" t="s">
        <v>45</v>
      </c>
      <c r="J50" s="9" t="n">
        <v>0.277777777777778</v>
      </c>
      <c r="K50" s="8" t="s">
        <v>33</v>
      </c>
    </row>
    <row r="51" customFormat="false" ht="15" hidden="false" customHeight="false" outlineLevel="0" collapsed="false">
      <c r="A51" s="8" t="n">
        <v>50</v>
      </c>
      <c r="B51" s="8" t="s">
        <v>159</v>
      </c>
      <c r="C51" s="8" t="s">
        <v>27</v>
      </c>
      <c r="D51" s="8" t="s">
        <v>28</v>
      </c>
      <c r="E51" s="8" t="s">
        <v>160</v>
      </c>
      <c r="F51" s="8" t="s">
        <v>42</v>
      </c>
      <c r="G51" s="8" t="s">
        <v>43</v>
      </c>
      <c r="H51" s="8" t="s">
        <v>44</v>
      </c>
      <c r="I51" s="8" t="s">
        <v>45</v>
      </c>
      <c r="J51" s="9" t="n">
        <v>0.222222222222222</v>
      </c>
      <c r="K51" s="8" t="s">
        <v>33</v>
      </c>
    </row>
    <row r="52" customFormat="false" ht="15" hidden="false" customHeight="false" outlineLevel="0" collapsed="false">
      <c r="A52" s="8" t="n">
        <v>51</v>
      </c>
      <c r="B52" s="8" t="s">
        <v>161</v>
      </c>
      <c r="C52" s="8" t="s">
        <v>27</v>
      </c>
      <c r="D52" s="8" t="s">
        <v>28</v>
      </c>
      <c r="E52" s="8" t="s">
        <v>162</v>
      </c>
      <c r="F52" s="8" t="s">
        <v>42</v>
      </c>
      <c r="G52" s="8" t="s">
        <v>43</v>
      </c>
      <c r="H52" s="8" t="s">
        <v>44</v>
      </c>
      <c r="I52" s="8" t="s">
        <v>45</v>
      </c>
      <c r="J52" s="9" t="n">
        <v>0.277777777777778</v>
      </c>
      <c r="K52" s="8" t="s">
        <v>33</v>
      </c>
    </row>
    <row r="53" customFormat="false" ht="15" hidden="false" customHeight="false" outlineLevel="0" collapsed="false">
      <c r="A53" s="8" t="n">
        <v>52</v>
      </c>
      <c r="B53" s="8" t="s">
        <v>163</v>
      </c>
      <c r="C53" s="8" t="s">
        <v>27</v>
      </c>
      <c r="D53" s="8" t="s">
        <v>28</v>
      </c>
      <c r="E53" s="8" t="s">
        <v>164</v>
      </c>
      <c r="F53" s="8" t="s">
        <v>71</v>
      </c>
      <c r="G53" s="8" t="s">
        <v>72</v>
      </c>
      <c r="H53" s="8" t="s">
        <v>73</v>
      </c>
      <c r="I53" s="8" t="s">
        <v>74</v>
      </c>
      <c r="J53" s="9" t="n">
        <v>0.0714285714285714</v>
      </c>
      <c r="K53" s="8" t="s">
        <v>33</v>
      </c>
    </row>
    <row r="54" customFormat="false" ht="15" hidden="false" customHeight="false" outlineLevel="0" collapsed="false">
      <c r="A54" s="8" t="n">
        <v>53</v>
      </c>
      <c r="B54" s="8" t="s">
        <v>165</v>
      </c>
      <c r="C54" s="8" t="s">
        <v>27</v>
      </c>
      <c r="D54" s="8" t="s">
        <v>28</v>
      </c>
      <c r="E54" s="8" t="s">
        <v>166</v>
      </c>
      <c r="F54" s="8" t="s">
        <v>48</v>
      </c>
      <c r="G54" s="8" t="s">
        <v>49</v>
      </c>
      <c r="H54" s="8" t="s">
        <v>50</v>
      </c>
      <c r="I54" s="8" t="s">
        <v>49</v>
      </c>
      <c r="J54" s="9" t="n">
        <v>0.3125</v>
      </c>
      <c r="K54" s="8" t="s">
        <v>33</v>
      </c>
    </row>
    <row r="55" customFormat="false" ht="15" hidden="false" customHeight="false" outlineLevel="0" collapsed="false">
      <c r="A55" s="8" t="n">
        <v>54</v>
      </c>
      <c r="B55" s="8" t="s">
        <v>167</v>
      </c>
      <c r="C55" s="8" t="s">
        <v>27</v>
      </c>
      <c r="D55" s="8" t="s">
        <v>28</v>
      </c>
      <c r="E55" s="8" t="s">
        <v>168</v>
      </c>
      <c r="F55" s="8" t="s">
        <v>42</v>
      </c>
      <c r="G55" s="8" t="s">
        <v>43</v>
      </c>
      <c r="H55" s="8" t="s">
        <v>44</v>
      </c>
      <c r="I55" s="8" t="s">
        <v>45</v>
      </c>
      <c r="J55" s="9" t="n">
        <v>0.166666666666667</v>
      </c>
      <c r="K55" s="8" t="s">
        <v>33</v>
      </c>
    </row>
    <row r="56" customFormat="false" ht="15" hidden="false" customHeight="false" outlineLevel="0" collapsed="false">
      <c r="A56" s="8" t="n">
        <v>55</v>
      </c>
      <c r="B56" s="8" t="s">
        <v>169</v>
      </c>
      <c r="C56" s="8" t="s">
        <v>27</v>
      </c>
      <c r="D56" s="8" t="s">
        <v>28</v>
      </c>
      <c r="E56" s="8" t="s">
        <v>170</v>
      </c>
      <c r="F56" s="8" t="s">
        <v>53</v>
      </c>
      <c r="G56" s="8" t="s">
        <v>54</v>
      </c>
      <c r="H56" s="8" t="s">
        <v>55</v>
      </c>
      <c r="I56" s="8" t="s">
        <v>56</v>
      </c>
      <c r="J56" s="9" t="n">
        <v>0.142857142857143</v>
      </c>
      <c r="K56" s="8" t="s">
        <v>33</v>
      </c>
    </row>
    <row r="57" customFormat="false" ht="15" hidden="false" customHeight="false" outlineLevel="0" collapsed="false">
      <c r="A57" s="8" t="n">
        <v>56</v>
      </c>
      <c r="B57" s="8" t="s">
        <v>171</v>
      </c>
      <c r="C57" s="8" t="s">
        <v>27</v>
      </c>
      <c r="D57" s="8" t="s">
        <v>28</v>
      </c>
      <c r="E57" s="8" t="s">
        <v>172</v>
      </c>
      <c r="F57" s="8" t="s">
        <v>42</v>
      </c>
      <c r="G57" s="8" t="s">
        <v>43</v>
      </c>
      <c r="H57" s="8" t="s">
        <v>44</v>
      </c>
      <c r="I57" s="8" t="s">
        <v>45</v>
      </c>
      <c r="J57" s="9" t="n">
        <v>0.166666666666667</v>
      </c>
      <c r="K57" s="8" t="s">
        <v>33</v>
      </c>
    </row>
    <row r="58" customFormat="false" ht="15" hidden="false" customHeight="false" outlineLevel="0" collapsed="false">
      <c r="A58" s="8" t="n">
        <v>57</v>
      </c>
      <c r="B58" s="8" t="s">
        <v>173</v>
      </c>
      <c r="C58" s="8" t="s">
        <v>27</v>
      </c>
      <c r="D58" s="8" t="s">
        <v>28</v>
      </c>
      <c r="E58" s="8" t="s">
        <v>174</v>
      </c>
      <c r="F58" s="8" t="s">
        <v>53</v>
      </c>
      <c r="G58" s="8" t="s">
        <v>54</v>
      </c>
      <c r="H58" s="8" t="s">
        <v>55</v>
      </c>
      <c r="I58" s="8" t="s">
        <v>56</v>
      </c>
      <c r="J58" s="9" t="n">
        <v>0.285714285714286</v>
      </c>
      <c r="K58" s="8" t="s">
        <v>33</v>
      </c>
    </row>
    <row r="59" customFormat="false" ht="15" hidden="false" customHeight="false" outlineLevel="0" collapsed="false">
      <c r="A59" s="8" t="n">
        <v>58</v>
      </c>
      <c r="B59" s="8" t="s">
        <v>175</v>
      </c>
      <c r="C59" s="8" t="s">
        <v>27</v>
      </c>
      <c r="D59" s="8" t="s">
        <v>28</v>
      </c>
      <c r="E59" s="8" t="s">
        <v>176</v>
      </c>
      <c r="F59" s="8" t="s">
        <v>53</v>
      </c>
      <c r="G59" s="8" t="s">
        <v>54</v>
      </c>
      <c r="H59" s="8" t="s">
        <v>55</v>
      </c>
      <c r="I59" s="8" t="s">
        <v>56</v>
      </c>
      <c r="J59" s="9" t="n">
        <v>0.285714285714286</v>
      </c>
      <c r="K59" s="8" t="s">
        <v>33</v>
      </c>
    </row>
    <row r="60" customFormat="false" ht="15" hidden="false" customHeight="false" outlineLevel="0" collapsed="false">
      <c r="A60" s="8" t="n">
        <v>59</v>
      </c>
      <c r="B60" s="8" t="s">
        <v>177</v>
      </c>
      <c r="C60" s="8" t="s">
        <v>27</v>
      </c>
      <c r="D60" s="8" t="s">
        <v>28</v>
      </c>
      <c r="E60" s="8" t="s">
        <v>178</v>
      </c>
      <c r="F60" s="8" t="s">
        <v>179</v>
      </c>
      <c r="G60" s="8" t="s">
        <v>180</v>
      </c>
      <c r="H60" s="8" t="s">
        <v>181</v>
      </c>
      <c r="I60" s="8" t="s">
        <v>182</v>
      </c>
      <c r="J60" s="9" t="n">
        <v>0.5</v>
      </c>
      <c r="K60" s="8" t="s">
        <v>33</v>
      </c>
    </row>
    <row r="61" customFormat="false" ht="15" hidden="false" customHeight="false" outlineLevel="0" collapsed="false">
      <c r="A61" s="8" t="n">
        <v>60</v>
      </c>
      <c r="B61" s="8" t="s">
        <v>183</v>
      </c>
      <c r="C61" s="8" t="s">
        <v>27</v>
      </c>
      <c r="D61" s="8" t="s">
        <v>28</v>
      </c>
      <c r="E61" s="8" t="s">
        <v>184</v>
      </c>
      <c r="F61" s="8" t="s">
        <v>42</v>
      </c>
      <c r="G61" s="8" t="s">
        <v>43</v>
      </c>
      <c r="H61" s="8" t="s">
        <v>44</v>
      </c>
      <c r="I61" s="8" t="s">
        <v>45</v>
      </c>
      <c r="J61" s="9" t="n">
        <v>0.388888888888889</v>
      </c>
      <c r="K61" s="8" t="s">
        <v>33</v>
      </c>
    </row>
    <row r="62" customFormat="false" ht="15" hidden="false" customHeight="false" outlineLevel="0" collapsed="false">
      <c r="A62" s="8" t="n">
        <v>61</v>
      </c>
      <c r="B62" s="8" t="s">
        <v>185</v>
      </c>
      <c r="C62" s="8" t="s">
        <v>27</v>
      </c>
      <c r="D62" s="8" t="s">
        <v>28</v>
      </c>
      <c r="E62" s="8" t="s">
        <v>186</v>
      </c>
      <c r="F62" s="8" t="s">
        <v>53</v>
      </c>
      <c r="G62" s="8" t="s">
        <v>54</v>
      </c>
      <c r="H62" s="8" t="s">
        <v>55</v>
      </c>
      <c r="I62" s="8" t="s">
        <v>56</v>
      </c>
      <c r="J62" s="9" t="n">
        <v>0.285714285714286</v>
      </c>
      <c r="K62" s="8" t="s">
        <v>33</v>
      </c>
    </row>
    <row r="63" customFormat="false" ht="15" hidden="false" customHeight="false" outlineLevel="0" collapsed="false">
      <c r="A63" s="8" t="n">
        <v>62</v>
      </c>
      <c r="B63" s="8" t="s">
        <v>187</v>
      </c>
      <c r="C63" s="8" t="s">
        <v>27</v>
      </c>
      <c r="D63" s="8" t="s">
        <v>28</v>
      </c>
      <c r="E63" s="8" t="s">
        <v>188</v>
      </c>
      <c r="F63" s="8" t="s">
        <v>42</v>
      </c>
      <c r="G63" s="8" t="s">
        <v>43</v>
      </c>
      <c r="H63" s="8" t="s">
        <v>44</v>
      </c>
      <c r="I63" s="8" t="s">
        <v>45</v>
      </c>
      <c r="J63" s="9" t="n">
        <v>0.166666666666667</v>
      </c>
      <c r="K63" s="8" t="s">
        <v>33</v>
      </c>
    </row>
    <row r="64" customFormat="false" ht="15" hidden="false" customHeight="false" outlineLevel="0" collapsed="false">
      <c r="A64" s="8" t="n">
        <v>63</v>
      </c>
      <c r="B64" s="8" t="s">
        <v>189</v>
      </c>
      <c r="C64" s="8" t="s">
        <v>27</v>
      </c>
      <c r="D64" s="8" t="s">
        <v>28</v>
      </c>
      <c r="E64" s="8" t="s">
        <v>190</v>
      </c>
      <c r="F64" s="8" t="s">
        <v>42</v>
      </c>
      <c r="G64" s="8" t="s">
        <v>43</v>
      </c>
      <c r="H64" s="8" t="s">
        <v>44</v>
      </c>
      <c r="I64" s="8" t="s">
        <v>45</v>
      </c>
      <c r="J64" s="9" t="n">
        <v>0.444444444444444</v>
      </c>
      <c r="K64" s="8" t="s">
        <v>33</v>
      </c>
    </row>
    <row r="65" customFormat="false" ht="15" hidden="false" customHeight="false" outlineLevel="0" collapsed="false">
      <c r="A65" s="8" t="n">
        <v>64</v>
      </c>
      <c r="B65" s="8" t="s">
        <v>191</v>
      </c>
      <c r="C65" s="8" t="s">
        <v>27</v>
      </c>
      <c r="D65" s="8" t="s">
        <v>28</v>
      </c>
      <c r="E65" s="8" t="s">
        <v>192</v>
      </c>
      <c r="F65" s="8" t="s">
        <v>48</v>
      </c>
      <c r="G65" s="8" t="s">
        <v>49</v>
      </c>
      <c r="H65" s="8" t="s">
        <v>50</v>
      </c>
      <c r="I65" s="8" t="s">
        <v>49</v>
      </c>
      <c r="J65" s="9" t="n">
        <v>0.3125</v>
      </c>
      <c r="K65" s="8" t="s">
        <v>33</v>
      </c>
    </row>
    <row r="66" customFormat="false" ht="15" hidden="false" customHeight="false" outlineLevel="0" collapsed="false">
      <c r="A66" s="8" t="n">
        <v>65</v>
      </c>
      <c r="B66" s="8" t="s">
        <v>193</v>
      </c>
      <c r="C66" s="8" t="s">
        <v>27</v>
      </c>
      <c r="D66" s="8" t="s">
        <v>28</v>
      </c>
      <c r="E66" s="8" t="s">
        <v>194</v>
      </c>
      <c r="F66" s="8" t="s">
        <v>195</v>
      </c>
      <c r="G66" s="8" t="s">
        <v>196</v>
      </c>
      <c r="H66" s="8" t="s">
        <v>197</v>
      </c>
      <c r="I66" s="8" t="s">
        <v>198</v>
      </c>
      <c r="J66" s="9" t="n">
        <v>0.5</v>
      </c>
      <c r="K66" s="8" t="s">
        <v>33</v>
      </c>
    </row>
    <row r="67" customFormat="false" ht="15" hidden="false" customHeight="false" outlineLevel="0" collapsed="false">
      <c r="A67" s="8" t="n">
        <v>66</v>
      </c>
      <c r="B67" s="8" t="s">
        <v>199</v>
      </c>
      <c r="C67" s="8" t="s">
        <v>27</v>
      </c>
      <c r="D67" s="8" t="s">
        <v>28</v>
      </c>
      <c r="E67" s="8" t="s">
        <v>200</v>
      </c>
      <c r="F67" s="8" t="s">
        <v>48</v>
      </c>
      <c r="G67" s="8" t="s">
        <v>49</v>
      </c>
      <c r="H67" s="8" t="s">
        <v>50</v>
      </c>
      <c r="I67" s="8" t="s">
        <v>49</v>
      </c>
      <c r="J67" s="9" t="n">
        <v>0.3125</v>
      </c>
      <c r="K67" s="8" t="s">
        <v>33</v>
      </c>
    </row>
    <row r="68" customFormat="false" ht="15" hidden="false" customHeight="false" outlineLevel="0" collapsed="false">
      <c r="A68" s="8" t="n">
        <v>67</v>
      </c>
      <c r="B68" s="8" t="s">
        <v>201</v>
      </c>
      <c r="C68" s="8" t="s">
        <v>27</v>
      </c>
      <c r="D68" s="8" t="s">
        <v>28</v>
      </c>
      <c r="E68" s="8" t="s">
        <v>202</v>
      </c>
      <c r="F68" s="8" t="s">
        <v>48</v>
      </c>
      <c r="G68" s="8" t="s">
        <v>49</v>
      </c>
      <c r="H68" s="8" t="s">
        <v>50</v>
      </c>
      <c r="I68" s="8" t="s">
        <v>49</v>
      </c>
      <c r="J68" s="9" t="n">
        <v>0.125</v>
      </c>
      <c r="K68" s="8" t="s">
        <v>33</v>
      </c>
    </row>
    <row r="69" customFormat="false" ht="15" hidden="false" customHeight="false" outlineLevel="0" collapsed="false">
      <c r="A69" s="8" t="n">
        <v>68</v>
      </c>
      <c r="B69" s="8" t="s">
        <v>203</v>
      </c>
      <c r="C69" s="8" t="s">
        <v>27</v>
      </c>
      <c r="D69" s="8" t="s">
        <v>28</v>
      </c>
      <c r="E69" s="8" t="s">
        <v>204</v>
      </c>
      <c r="F69" s="8" t="s">
        <v>53</v>
      </c>
      <c r="G69" s="8" t="s">
        <v>54</v>
      </c>
      <c r="H69" s="8" t="s">
        <v>55</v>
      </c>
      <c r="I69" s="8" t="s">
        <v>56</v>
      </c>
      <c r="J69" s="9" t="n">
        <v>0.285714285714286</v>
      </c>
      <c r="K69" s="8" t="s">
        <v>33</v>
      </c>
    </row>
    <row r="70" customFormat="false" ht="15" hidden="false" customHeight="false" outlineLevel="0" collapsed="false">
      <c r="A70" s="8" t="n">
        <v>69</v>
      </c>
      <c r="B70" s="8" t="s">
        <v>205</v>
      </c>
      <c r="C70" s="8" t="s">
        <v>27</v>
      </c>
      <c r="D70" s="8" t="s">
        <v>28</v>
      </c>
      <c r="E70" s="8" t="s">
        <v>206</v>
      </c>
      <c r="F70" s="8" t="s">
        <v>42</v>
      </c>
      <c r="G70" s="8" t="s">
        <v>43</v>
      </c>
      <c r="H70" s="8" t="s">
        <v>44</v>
      </c>
      <c r="I70" s="8" t="s">
        <v>45</v>
      </c>
      <c r="J70" s="9" t="n">
        <v>0.166666666666667</v>
      </c>
      <c r="K70" s="8" t="s">
        <v>33</v>
      </c>
    </row>
    <row r="71" customFormat="false" ht="15" hidden="false" customHeight="false" outlineLevel="0" collapsed="false">
      <c r="A71" s="8" t="n">
        <v>70</v>
      </c>
      <c r="B71" s="8" t="s">
        <v>207</v>
      </c>
      <c r="C71" s="8" t="s">
        <v>27</v>
      </c>
      <c r="D71" s="8" t="s">
        <v>28</v>
      </c>
      <c r="E71" s="8" t="s">
        <v>208</v>
      </c>
      <c r="F71" s="8" t="s">
        <v>71</v>
      </c>
      <c r="G71" s="8" t="s">
        <v>72</v>
      </c>
      <c r="H71" s="8" t="s">
        <v>83</v>
      </c>
      <c r="I71" s="8" t="s">
        <v>84</v>
      </c>
      <c r="J71" s="9" t="n">
        <v>0.25</v>
      </c>
      <c r="K71" s="8" t="s">
        <v>33</v>
      </c>
    </row>
    <row r="72" customFormat="false" ht="15" hidden="false" customHeight="false" outlineLevel="0" collapsed="false">
      <c r="A72" s="8" t="n">
        <v>71</v>
      </c>
      <c r="B72" s="8" t="s">
        <v>209</v>
      </c>
      <c r="C72" s="8" t="s">
        <v>27</v>
      </c>
      <c r="D72" s="8" t="s">
        <v>28</v>
      </c>
      <c r="E72" s="8" t="s">
        <v>210</v>
      </c>
      <c r="F72" s="8" t="s">
        <v>42</v>
      </c>
      <c r="G72" s="8" t="s">
        <v>43</v>
      </c>
      <c r="H72" s="8" t="s">
        <v>44</v>
      </c>
      <c r="I72" s="8" t="s">
        <v>45</v>
      </c>
      <c r="J72" s="9" t="n">
        <v>0.5</v>
      </c>
      <c r="K72" s="8" t="s">
        <v>33</v>
      </c>
    </row>
    <row r="73" customFormat="false" ht="15" hidden="false" customHeight="false" outlineLevel="0" collapsed="false">
      <c r="A73" s="8" t="n">
        <v>72</v>
      </c>
      <c r="B73" s="8" t="s">
        <v>211</v>
      </c>
      <c r="C73" s="8" t="s">
        <v>27</v>
      </c>
      <c r="D73" s="8" t="s">
        <v>28</v>
      </c>
      <c r="E73" s="8" t="s">
        <v>212</v>
      </c>
      <c r="F73" s="8" t="s">
        <v>48</v>
      </c>
      <c r="G73" s="8" t="s">
        <v>49</v>
      </c>
      <c r="H73" s="8" t="s">
        <v>50</v>
      </c>
      <c r="I73" s="8" t="s">
        <v>49</v>
      </c>
      <c r="J73" s="9" t="n">
        <v>0.5</v>
      </c>
      <c r="K73" s="8" t="s">
        <v>33</v>
      </c>
    </row>
    <row r="74" customFormat="false" ht="15" hidden="false" customHeight="false" outlineLevel="0" collapsed="false">
      <c r="A74" s="8" t="n">
        <v>73</v>
      </c>
      <c r="B74" s="8" t="s">
        <v>213</v>
      </c>
      <c r="C74" s="8" t="s">
        <v>27</v>
      </c>
      <c r="D74" s="8" t="s">
        <v>28</v>
      </c>
      <c r="E74" s="8" t="s">
        <v>214</v>
      </c>
      <c r="F74" s="8" t="s">
        <v>42</v>
      </c>
      <c r="G74" s="8" t="s">
        <v>43</v>
      </c>
      <c r="H74" s="8" t="s">
        <v>44</v>
      </c>
      <c r="I74" s="8" t="s">
        <v>45</v>
      </c>
      <c r="J74" s="9" t="n">
        <v>0.166666666666667</v>
      </c>
      <c r="K74" s="8" t="s">
        <v>33</v>
      </c>
    </row>
    <row r="75" customFormat="false" ht="15" hidden="false" customHeight="false" outlineLevel="0" collapsed="false">
      <c r="A75" s="8" t="n">
        <v>74</v>
      </c>
      <c r="B75" s="8" t="s">
        <v>215</v>
      </c>
      <c r="C75" s="8" t="s">
        <v>27</v>
      </c>
      <c r="D75" s="8" t="s">
        <v>28</v>
      </c>
      <c r="E75" s="8" t="s">
        <v>216</v>
      </c>
      <c r="F75" s="8" t="s">
        <v>48</v>
      </c>
      <c r="G75" s="8" t="s">
        <v>49</v>
      </c>
      <c r="H75" s="8" t="s">
        <v>50</v>
      </c>
      <c r="I75" s="8" t="s">
        <v>49</v>
      </c>
      <c r="J75" s="9" t="n">
        <v>0.125</v>
      </c>
      <c r="K75" s="8" t="s">
        <v>33</v>
      </c>
    </row>
    <row r="76" customFormat="false" ht="15" hidden="false" customHeight="false" outlineLevel="0" collapsed="false">
      <c r="A76" s="8" t="n">
        <v>75</v>
      </c>
      <c r="B76" s="8" t="s">
        <v>217</v>
      </c>
      <c r="C76" s="8" t="s">
        <v>27</v>
      </c>
      <c r="D76" s="8" t="s">
        <v>28</v>
      </c>
      <c r="E76" s="8" t="s">
        <v>218</v>
      </c>
      <c r="F76" s="8" t="s">
        <v>48</v>
      </c>
      <c r="G76" s="8" t="s">
        <v>49</v>
      </c>
      <c r="H76" s="8" t="s">
        <v>50</v>
      </c>
      <c r="I76" s="8" t="s">
        <v>49</v>
      </c>
      <c r="J76" s="9" t="n">
        <v>0.375</v>
      </c>
      <c r="K76" s="8" t="s">
        <v>33</v>
      </c>
    </row>
    <row r="77" customFormat="false" ht="15" hidden="false" customHeight="false" outlineLevel="0" collapsed="false">
      <c r="A77" s="8" t="n">
        <v>76</v>
      </c>
      <c r="B77" s="8" t="s">
        <v>219</v>
      </c>
      <c r="C77" s="8" t="s">
        <v>27</v>
      </c>
      <c r="D77" s="8" t="s">
        <v>28</v>
      </c>
      <c r="E77" s="8" t="s">
        <v>220</v>
      </c>
      <c r="F77" s="8" t="s">
        <v>53</v>
      </c>
      <c r="G77" s="8" t="s">
        <v>54</v>
      </c>
      <c r="H77" s="8" t="s">
        <v>55</v>
      </c>
      <c r="I77" s="8" t="s">
        <v>56</v>
      </c>
      <c r="J77" s="9" t="n">
        <v>0.142857142857143</v>
      </c>
      <c r="K77" s="8" t="s">
        <v>33</v>
      </c>
    </row>
    <row r="78" customFormat="false" ht="15" hidden="false" customHeight="false" outlineLevel="0" collapsed="false">
      <c r="A78" s="8" t="n">
        <v>77</v>
      </c>
      <c r="B78" s="8" t="s">
        <v>221</v>
      </c>
      <c r="C78" s="8" t="s">
        <v>27</v>
      </c>
      <c r="D78" s="8" t="s">
        <v>28</v>
      </c>
      <c r="E78" s="8" t="s">
        <v>222</v>
      </c>
      <c r="F78" s="8" t="s">
        <v>42</v>
      </c>
      <c r="G78" s="8" t="s">
        <v>43</v>
      </c>
      <c r="H78" s="8" t="s">
        <v>44</v>
      </c>
      <c r="I78" s="8" t="s">
        <v>45</v>
      </c>
      <c r="J78" s="9" t="n">
        <v>0.277777777777778</v>
      </c>
      <c r="K78" s="8" t="s">
        <v>33</v>
      </c>
    </row>
    <row r="79" customFormat="false" ht="15" hidden="false" customHeight="false" outlineLevel="0" collapsed="false">
      <c r="A79" s="8" t="n">
        <v>78</v>
      </c>
      <c r="B79" s="8" t="s">
        <v>223</v>
      </c>
      <c r="C79" s="8" t="s">
        <v>27</v>
      </c>
      <c r="D79" s="8" t="s">
        <v>28</v>
      </c>
      <c r="E79" s="8" t="s">
        <v>224</v>
      </c>
      <c r="F79" s="8" t="s">
        <v>48</v>
      </c>
      <c r="G79" s="8" t="s">
        <v>49</v>
      </c>
      <c r="H79" s="8" t="s">
        <v>50</v>
      </c>
      <c r="I79" s="8" t="s">
        <v>49</v>
      </c>
      <c r="J79" s="9" t="n">
        <v>0.25</v>
      </c>
      <c r="K79" s="8" t="s">
        <v>33</v>
      </c>
    </row>
    <row r="80" customFormat="false" ht="15" hidden="false" customHeight="false" outlineLevel="0" collapsed="false">
      <c r="A80" s="8" t="n">
        <v>79</v>
      </c>
      <c r="B80" s="8" t="s">
        <v>225</v>
      </c>
      <c r="C80" s="8" t="s">
        <v>27</v>
      </c>
      <c r="D80" s="8" t="s">
        <v>28</v>
      </c>
      <c r="E80" s="8" t="s">
        <v>226</v>
      </c>
      <c r="F80" s="8" t="s">
        <v>48</v>
      </c>
      <c r="G80" s="8" t="s">
        <v>49</v>
      </c>
      <c r="H80" s="8" t="s">
        <v>50</v>
      </c>
      <c r="I80" s="8" t="s">
        <v>49</v>
      </c>
      <c r="J80" s="9" t="n">
        <v>0.25</v>
      </c>
      <c r="K80" s="8" t="s">
        <v>33</v>
      </c>
    </row>
    <row r="81" customFormat="false" ht="15" hidden="false" customHeight="false" outlineLevel="0" collapsed="false">
      <c r="A81" s="8" t="n">
        <v>80</v>
      </c>
      <c r="B81" s="8" t="s">
        <v>227</v>
      </c>
      <c r="C81" s="8" t="s">
        <v>27</v>
      </c>
      <c r="D81" s="8" t="s">
        <v>28</v>
      </c>
      <c r="E81" s="8" t="s">
        <v>228</v>
      </c>
      <c r="F81" s="8" t="s">
        <v>179</v>
      </c>
      <c r="G81" s="8" t="s">
        <v>180</v>
      </c>
      <c r="H81" s="8" t="s">
        <v>181</v>
      </c>
      <c r="I81" s="8" t="s">
        <v>182</v>
      </c>
      <c r="J81" s="9" t="n">
        <v>0.166666666666667</v>
      </c>
      <c r="K81" s="8" t="s">
        <v>33</v>
      </c>
    </row>
    <row r="82" customFormat="false" ht="15" hidden="false" customHeight="false" outlineLevel="0" collapsed="false">
      <c r="A82" s="8" t="n">
        <v>81</v>
      </c>
      <c r="B82" s="8" t="s">
        <v>229</v>
      </c>
      <c r="C82" s="8" t="s">
        <v>27</v>
      </c>
      <c r="D82" s="8" t="s">
        <v>28</v>
      </c>
      <c r="E82" s="8" t="s">
        <v>230</v>
      </c>
      <c r="F82" s="8" t="s">
        <v>53</v>
      </c>
      <c r="G82" s="8" t="s">
        <v>54</v>
      </c>
      <c r="H82" s="8" t="s">
        <v>55</v>
      </c>
      <c r="I82" s="8" t="s">
        <v>56</v>
      </c>
      <c r="J82" s="9" t="n">
        <v>0.142857142857143</v>
      </c>
      <c r="K82" s="8" t="s">
        <v>33</v>
      </c>
    </row>
    <row r="83" customFormat="false" ht="15" hidden="false" customHeight="false" outlineLevel="0" collapsed="false">
      <c r="A83" s="8" t="n">
        <v>82</v>
      </c>
      <c r="B83" s="8" t="s">
        <v>231</v>
      </c>
      <c r="C83" s="8" t="s">
        <v>27</v>
      </c>
      <c r="D83" s="8" t="s">
        <v>28</v>
      </c>
      <c r="E83" s="8" t="s">
        <v>232</v>
      </c>
      <c r="F83" s="8" t="s">
        <v>48</v>
      </c>
      <c r="G83" s="8" t="s">
        <v>49</v>
      </c>
      <c r="H83" s="8" t="s">
        <v>50</v>
      </c>
      <c r="I83" s="8" t="s">
        <v>49</v>
      </c>
      <c r="J83" s="9" t="n">
        <v>0.4375</v>
      </c>
      <c r="K83" s="8" t="s">
        <v>33</v>
      </c>
    </row>
    <row r="84" customFormat="false" ht="15" hidden="false" customHeight="false" outlineLevel="0" collapsed="false">
      <c r="A84" s="8" t="n">
        <v>83</v>
      </c>
      <c r="B84" s="8" t="s">
        <v>233</v>
      </c>
      <c r="C84" s="8" t="s">
        <v>27</v>
      </c>
      <c r="D84" s="8" t="s">
        <v>28</v>
      </c>
      <c r="E84" s="8" t="s">
        <v>234</v>
      </c>
      <c r="F84" s="8" t="s">
        <v>42</v>
      </c>
      <c r="G84" s="8" t="s">
        <v>43</v>
      </c>
      <c r="H84" s="8" t="s">
        <v>44</v>
      </c>
      <c r="I84" s="8" t="s">
        <v>45</v>
      </c>
      <c r="J84" s="9" t="n">
        <v>0.0555555555555556</v>
      </c>
      <c r="K84" s="8" t="s">
        <v>33</v>
      </c>
    </row>
    <row r="85" customFormat="false" ht="15" hidden="false" customHeight="false" outlineLevel="0" collapsed="false">
      <c r="A85" s="8" t="n">
        <v>84</v>
      </c>
      <c r="B85" s="8" t="s">
        <v>235</v>
      </c>
      <c r="C85" s="8" t="s">
        <v>27</v>
      </c>
      <c r="D85" s="8" t="s">
        <v>28</v>
      </c>
      <c r="E85" s="8" t="s">
        <v>236</v>
      </c>
      <c r="F85" s="8" t="s">
        <v>48</v>
      </c>
      <c r="G85" s="8" t="s">
        <v>49</v>
      </c>
      <c r="H85" s="8" t="s">
        <v>50</v>
      </c>
      <c r="I85" s="8" t="s">
        <v>49</v>
      </c>
      <c r="J85" s="9" t="n">
        <v>0.0625</v>
      </c>
      <c r="K85" s="8" t="s">
        <v>33</v>
      </c>
    </row>
    <row r="86" customFormat="false" ht="15" hidden="false" customHeight="false" outlineLevel="0" collapsed="false">
      <c r="A86" s="8" t="n">
        <v>85</v>
      </c>
      <c r="B86" s="8" t="s">
        <v>237</v>
      </c>
      <c r="C86" s="8" t="s">
        <v>27</v>
      </c>
      <c r="D86" s="8" t="s">
        <v>28</v>
      </c>
      <c r="E86" s="8" t="s">
        <v>238</v>
      </c>
      <c r="F86" s="8" t="s">
        <v>42</v>
      </c>
      <c r="G86" s="8" t="s">
        <v>43</v>
      </c>
      <c r="H86" s="8" t="s">
        <v>44</v>
      </c>
      <c r="I86" s="8" t="s">
        <v>45</v>
      </c>
      <c r="J86" s="9" t="n">
        <v>0.111111111111111</v>
      </c>
      <c r="K86" s="8" t="s">
        <v>33</v>
      </c>
    </row>
    <row r="87" customFormat="false" ht="15" hidden="false" customHeight="false" outlineLevel="0" collapsed="false">
      <c r="A87" s="8" t="n">
        <v>86</v>
      </c>
      <c r="B87" s="8" t="s">
        <v>239</v>
      </c>
      <c r="C87" s="8" t="s">
        <v>27</v>
      </c>
      <c r="D87" s="8" t="s">
        <v>28</v>
      </c>
      <c r="E87" s="8" t="s">
        <v>240</v>
      </c>
      <c r="F87" s="8" t="s">
        <v>48</v>
      </c>
      <c r="G87" s="8" t="s">
        <v>49</v>
      </c>
      <c r="H87" s="8" t="s">
        <v>50</v>
      </c>
      <c r="I87" s="8" t="s">
        <v>49</v>
      </c>
      <c r="J87" s="9" t="n">
        <v>0.125</v>
      </c>
      <c r="K87" s="8" t="s">
        <v>33</v>
      </c>
    </row>
    <row r="88" customFormat="false" ht="15" hidden="false" customHeight="false" outlineLevel="0" collapsed="false">
      <c r="A88" s="8" t="n">
        <v>87</v>
      </c>
      <c r="B88" s="8" t="s">
        <v>241</v>
      </c>
      <c r="C88" s="8" t="s">
        <v>27</v>
      </c>
      <c r="D88" s="8" t="s">
        <v>28</v>
      </c>
      <c r="E88" s="8" t="s">
        <v>242</v>
      </c>
      <c r="F88" s="8" t="s">
        <v>48</v>
      </c>
      <c r="G88" s="8" t="s">
        <v>49</v>
      </c>
      <c r="H88" s="8" t="s">
        <v>50</v>
      </c>
      <c r="I88" s="8" t="s">
        <v>49</v>
      </c>
      <c r="J88" s="9" t="n">
        <v>0.3125</v>
      </c>
      <c r="K88" s="8" t="s">
        <v>33</v>
      </c>
    </row>
    <row r="89" customFormat="false" ht="15" hidden="false" customHeight="false" outlineLevel="0" collapsed="false">
      <c r="A89" s="8" t="n">
        <v>88</v>
      </c>
      <c r="B89" s="8" t="s">
        <v>243</v>
      </c>
      <c r="C89" s="8" t="s">
        <v>27</v>
      </c>
      <c r="D89" s="8" t="s">
        <v>28</v>
      </c>
      <c r="E89" s="8" t="s">
        <v>244</v>
      </c>
      <c r="F89" s="8" t="s">
        <v>42</v>
      </c>
      <c r="G89" s="8" t="s">
        <v>43</v>
      </c>
      <c r="H89" s="8" t="s">
        <v>44</v>
      </c>
      <c r="I89" s="8" t="s">
        <v>45</v>
      </c>
      <c r="J89" s="9" t="n">
        <v>0.444444444444444</v>
      </c>
      <c r="K89" s="8" t="s">
        <v>33</v>
      </c>
    </row>
    <row r="90" customFormat="false" ht="15" hidden="false" customHeight="false" outlineLevel="0" collapsed="false">
      <c r="A90" s="8" t="n">
        <v>89</v>
      </c>
      <c r="B90" s="8" t="s">
        <v>245</v>
      </c>
      <c r="C90" s="8" t="s">
        <v>27</v>
      </c>
      <c r="D90" s="8" t="s">
        <v>28</v>
      </c>
      <c r="E90" s="8" t="s">
        <v>246</v>
      </c>
      <c r="F90" s="8" t="s">
        <v>48</v>
      </c>
      <c r="G90" s="8" t="s">
        <v>49</v>
      </c>
      <c r="H90" s="8" t="s">
        <v>50</v>
      </c>
      <c r="I90" s="8" t="s">
        <v>49</v>
      </c>
      <c r="J90" s="9" t="n">
        <v>0.1875</v>
      </c>
      <c r="K90" s="8" t="s">
        <v>33</v>
      </c>
    </row>
    <row r="91" customFormat="false" ht="15" hidden="false" customHeight="false" outlineLevel="0" collapsed="false">
      <c r="A91" s="8" t="n">
        <v>90</v>
      </c>
      <c r="B91" s="8" t="s">
        <v>247</v>
      </c>
      <c r="C91" s="8" t="s">
        <v>27</v>
      </c>
      <c r="D91" s="8" t="s">
        <v>28</v>
      </c>
      <c r="E91" s="8" t="s">
        <v>248</v>
      </c>
      <c r="F91" s="8" t="s">
        <v>53</v>
      </c>
      <c r="G91" s="8" t="s">
        <v>54</v>
      </c>
      <c r="H91" s="8" t="s">
        <v>55</v>
      </c>
      <c r="I91" s="8" t="s">
        <v>56</v>
      </c>
      <c r="J91" s="9" t="n">
        <v>0.142857142857143</v>
      </c>
      <c r="K91" s="8" t="s">
        <v>33</v>
      </c>
    </row>
    <row r="92" customFormat="false" ht="15" hidden="false" customHeight="false" outlineLevel="0" collapsed="false">
      <c r="A92" s="8" t="n">
        <v>91</v>
      </c>
      <c r="B92" s="8" t="s">
        <v>249</v>
      </c>
      <c r="C92" s="8" t="s">
        <v>27</v>
      </c>
      <c r="D92" s="8" t="s">
        <v>28</v>
      </c>
      <c r="E92" s="8" t="s">
        <v>250</v>
      </c>
      <c r="F92" s="8" t="s">
        <v>53</v>
      </c>
      <c r="G92" s="8" t="s">
        <v>54</v>
      </c>
      <c r="H92" s="8" t="s">
        <v>55</v>
      </c>
      <c r="I92" s="8" t="s">
        <v>56</v>
      </c>
      <c r="J92" s="9" t="n">
        <v>0.142857142857143</v>
      </c>
      <c r="K92" s="8" t="s">
        <v>33</v>
      </c>
    </row>
    <row r="93" customFormat="false" ht="15" hidden="false" customHeight="false" outlineLevel="0" collapsed="false">
      <c r="A93" s="8" t="n">
        <v>92</v>
      </c>
      <c r="B93" s="8" t="s">
        <v>251</v>
      </c>
      <c r="C93" s="8" t="s">
        <v>27</v>
      </c>
      <c r="D93" s="8" t="s">
        <v>28</v>
      </c>
      <c r="E93" s="8" t="s">
        <v>252</v>
      </c>
      <c r="F93" s="8" t="s">
        <v>48</v>
      </c>
      <c r="G93" s="8" t="s">
        <v>49</v>
      </c>
      <c r="H93" s="8" t="s">
        <v>50</v>
      </c>
      <c r="I93" s="8" t="s">
        <v>49</v>
      </c>
      <c r="J93" s="9" t="n">
        <v>0.25</v>
      </c>
      <c r="K93" s="8" t="s">
        <v>33</v>
      </c>
    </row>
    <row r="94" customFormat="false" ht="15" hidden="false" customHeight="false" outlineLevel="0" collapsed="false">
      <c r="A94" s="8" t="n">
        <v>93</v>
      </c>
      <c r="B94" s="8" t="s">
        <v>253</v>
      </c>
      <c r="C94" s="8" t="s">
        <v>27</v>
      </c>
      <c r="D94" s="8" t="s">
        <v>28</v>
      </c>
      <c r="E94" s="8" t="s">
        <v>254</v>
      </c>
      <c r="F94" s="8" t="s">
        <v>42</v>
      </c>
      <c r="G94" s="8" t="s">
        <v>43</v>
      </c>
      <c r="H94" s="8" t="s">
        <v>44</v>
      </c>
      <c r="I94" s="8" t="s">
        <v>45</v>
      </c>
      <c r="J94" s="9" t="n">
        <v>0.111111111111111</v>
      </c>
      <c r="K94" s="8" t="s">
        <v>33</v>
      </c>
    </row>
    <row r="95" customFormat="false" ht="15" hidden="false" customHeight="false" outlineLevel="0" collapsed="false">
      <c r="A95" s="8" t="n">
        <v>94</v>
      </c>
      <c r="B95" s="8" t="s">
        <v>255</v>
      </c>
      <c r="C95" s="8" t="s">
        <v>27</v>
      </c>
      <c r="D95" s="8" t="s">
        <v>28</v>
      </c>
      <c r="E95" s="8" t="s">
        <v>256</v>
      </c>
      <c r="F95" s="8" t="s">
        <v>48</v>
      </c>
      <c r="G95" s="8" t="s">
        <v>49</v>
      </c>
      <c r="H95" s="8" t="s">
        <v>50</v>
      </c>
      <c r="I95" s="8" t="s">
        <v>49</v>
      </c>
      <c r="J95" s="9" t="n">
        <v>0.375</v>
      </c>
      <c r="K95" s="8" t="s">
        <v>33</v>
      </c>
    </row>
    <row r="96" customFormat="false" ht="15" hidden="false" customHeight="false" outlineLevel="0" collapsed="false">
      <c r="A96" s="8" t="n">
        <v>95</v>
      </c>
      <c r="B96" s="8" t="s">
        <v>257</v>
      </c>
      <c r="C96" s="8" t="s">
        <v>27</v>
      </c>
      <c r="D96" s="8" t="s">
        <v>28</v>
      </c>
      <c r="E96" s="8" t="s">
        <v>258</v>
      </c>
      <c r="F96" s="8" t="s">
        <v>53</v>
      </c>
      <c r="G96" s="8" t="s">
        <v>54</v>
      </c>
      <c r="H96" s="8" t="s">
        <v>55</v>
      </c>
      <c r="I96" s="8" t="s">
        <v>56</v>
      </c>
      <c r="J96" s="9" t="n">
        <v>0.285714285714286</v>
      </c>
      <c r="K96" s="8" t="s">
        <v>33</v>
      </c>
    </row>
    <row r="97" customFormat="false" ht="15" hidden="false" customHeight="false" outlineLevel="0" collapsed="false">
      <c r="A97" s="8" t="n">
        <v>96</v>
      </c>
      <c r="B97" s="8" t="s">
        <v>259</v>
      </c>
      <c r="C97" s="8" t="s">
        <v>27</v>
      </c>
      <c r="D97" s="8" t="s">
        <v>28</v>
      </c>
      <c r="E97" s="8" t="s">
        <v>260</v>
      </c>
      <c r="F97" s="8" t="s">
        <v>30</v>
      </c>
      <c r="G97" s="8" t="s">
        <v>31</v>
      </c>
      <c r="H97" s="8" t="s">
        <v>32</v>
      </c>
      <c r="I97" s="8" t="s">
        <v>31</v>
      </c>
      <c r="J97" s="9" t="n">
        <v>0.176470588235294</v>
      </c>
      <c r="K97" s="8" t="s">
        <v>33</v>
      </c>
    </row>
    <row r="98" customFormat="false" ht="15" hidden="false" customHeight="false" outlineLevel="0" collapsed="false">
      <c r="A98" s="8" t="n">
        <v>97</v>
      </c>
      <c r="B98" s="8" t="s">
        <v>261</v>
      </c>
      <c r="C98" s="8" t="s">
        <v>27</v>
      </c>
      <c r="D98" s="8" t="s">
        <v>28</v>
      </c>
      <c r="E98" s="8" t="s">
        <v>262</v>
      </c>
      <c r="F98" s="8" t="s">
        <v>48</v>
      </c>
      <c r="G98" s="8" t="s">
        <v>49</v>
      </c>
      <c r="H98" s="8" t="s">
        <v>50</v>
      </c>
      <c r="I98" s="8" t="s">
        <v>49</v>
      </c>
      <c r="J98" s="9" t="n">
        <v>0.1875</v>
      </c>
      <c r="K98" s="8" t="s">
        <v>33</v>
      </c>
    </row>
    <row r="99" customFormat="false" ht="15" hidden="false" customHeight="false" outlineLevel="0" collapsed="false">
      <c r="A99" s="8" t="n">
        <v>98</v>
      </c>
      <c r="B99" s="8" t="s">
        <v>263</v>
      </c>
      <c r="C99" s="8" t="s">
        <v>27</v>
      </c>
      <c r="D99" s="8" t="s">
        <v>28</v>
      </c>
      <c r="E99" s="8" t="s">
        <v>264</v>
      </c>
      <c r="F99" s="8" t="s">
        <v>42</v>
      </c>
      <c r="G99" s="8" t="s">
        <v>43</v>
      </c>
      <c r="H99" s="8" t="s">
        <v>44</v>
      </c>
      <c r="I99" s="8" t="s">
        <v>45</v>
      </c>
      <c r="J99" s="9" t="n">
        <v>0.222222222222222</v>
      </c>
      <c r="K99" s="8" t="s">
        <v>33</v>
      </c>
    </row>
    <row r="100" customFormat="false" ht="15" hidden="false" customHeight="false" outlineLevel="0" collapsed="false">
      <c r="A100" s="8" t="n">
        <v>99</v>
      </c>
      <c r="B100" s="8" t="s">
        <v>265</v>
      </c>
      <c r="C100" s="8" t="s">
        <v>27</v>
      </c>
      <c r="D100" s="8" t="s">
        <v>28</v>
      </c>
      <c r="E100" s="8" t="s">
        <v>266</v>
      </c>
      <c r="F100" s="8" t="s">
        <v>53</v>
      </c>
      <c r="G100" s="8" t="s">
        <v>54</v>
      </c>
      <c r="H100" s="8" t="s">
        <v>55</v>
      </c>
      <c r="I100" s="8" t="s">
        <v>56</v>
      </c>
      <c r="J100" s="9" t="n">
        <v>0.285714285714286</v>
      </c>
      <c r="K100" s="8" t="s">
        <v>33</v>
      </c>
    </row>
    <row r="101" customFormat="false" ht="15" hidden="false" customHeight="false" outlineLevel="0" collapsed="false">
      <c r="A101" s="8" t="n">
        <v>100</v>
      </c>
      <c r="B101" s="8" t="s">
        <v>267</v>
      </c>
      <c r="C101" s="8" t="s">
        <v>27</v>
      </c>
      <c r="D101" s="8" t="s">
        <v>28</v>
      </c>
      <c r="E101" s="8" t="s">
        <v>268</v>
      </c>
      <c r="F101" s="8" t="s">
        <v>48</v>
      </c>
      <c r="G101" s="8" t="s">
        <v>49</v>
      </c>
      <c r="H101" s="8" t="s">
        <v>50</v>
      </c>
      <c r="I101" s="8" t="s">
        <v>49</v>
      </c>
      <c r="J101" s="9" t="n">
        <v>0.375</v>
      </c>
      <c r="K101" s="8" t="s">
        <v>33</v>
      </c>
    </row>
    <row r="102" customFormat="false" ht="15" hidden="false" customHeight="false" outlineLevel="0" collapsed="false">
      <c r="A102" s="8" t="n">
        <v>101</v>
      </c>
      <c r="B102" s="8" t="s">
        <v>269</v>
      </c>
      <c r="C102" s="8" t="s">
        <v>27</v>
      </c>
      <c r="D102" s="8" t="s">
        <v>28</v>
      </c>
      <c r="E102" s="8" t="s">
        <v>270</v>
      </c>
      <c r="F102" s="8" t="s">
        <v>271</v>
      </c>
      <c r="G102" s="8" t="s">
        <v>272</v>
      </c>
      <c r="H102" s="8" t="s">
        <v>273</v>
      </c>
      <c r="I102" s="8" t="s">
        <v>274</v>
      </c>
      <c r="J102" s="9" t="n">
        <v>0.5</v>
      </c>
      <c r="K102" s="8" t="s">
        <v>33</v>
      </c>
    </row>
    <row r="103" customFormat="false" ht="15" hidden="false" customHeight="false" outlineLevel="0" collapsed="false">
      <c r="A103" s="8" t="n">
        <v>102</v>
      </c>
      <c r="B103" s="8" t="s">
        <v>275</v>
      </c>
      <c r="C103" s="8" t="s">
        <v>27</v>
      </c>
      <c r="D103" s="8" t="s">
        <v>28</v>
      </c>
      <c r="E103" s="8" t="s">
        <v>276</v>
      </c>
      <c r="F103" s="8" t="s">
        <v>42</v>
      </c>
      <c r="G103" s="8" t="s">
        <v>43</v>
      </c>
      <c r="H103" s="8" t="s">
        <v>44</v>
      </c>
      <c r="I103" s="8" t="s">
        <v>45</v>
      </c>
      <c r="J103" s="9" t="n">
        <v>0.555555555555556</v>
      </c>
      <c r="K103" s="8" t="s">
        <v>33</v>
      </c>
    </row>
    <row r="104" customFormat="false" ht="15" hidden="false" customHeight="false" outlineLevel="0" collapsed="false">
      <c r="A104" s="8" t="n">
        <v>103</v>
      </c>
      <c r="B104" s="8" t="s">
        <v>277</v>
      </c>
      <c r="C104" s="8" t="s">
        <v>27</v>
      </c>
      <c r="D104" s="8" t="s">
        <v>28</v>
      </c>
      <c r="E104" s="8" t="s">
        <v>278</v>
      </c>
      <c r="F104" s="8" t="s">
        <v>48</v>
      </c>
      <c r="G104" s="8" t="s">
        <v>49</v>
      </c>
      <c r="H104" s="8" t="s">
        <v>50</v>
      </c>
      <c r="I104" s="8" t="s">
        <v>49</v>
      </c>
      <c r="J104" s="9" t="n">
        <v>0.3125</v>
      </c>
      <c r="K104" s="8" t="s">
        <v>33</v>
      </c>
    </row>
    <row r="105" customFormat="false" ht="15" hidden="false" customHeight="false" outlineLevel="0" collapsed="false">
      <c r="A105" s="8" t="n">
        <v>104</v>
      </c>
      <c r="B105" s="8" t="s">
        <v>279</v>
      </c>
      <c r="C105" s="8" t="s">
        <v>27</v>
      </c>
      <c r="D105" s="8" t="s">
        <v>28</v>
      </c>
      <c r="E105" s="8" t="s">
        <v>280</v>
      </c>
      <c r="F105" s="8" t="s">
        <v>71</v>
      </c>
      <c r="G105" s="8" t="s">
        <v>72</v>
      </c>
      <c r="H105" s="8" t="s">
        <v>73</v>
      </c>
      <c r="I105" s="8" t="s">
        <v>74</v>
      </c>
      <c r="J105" s="9" t="n">
        <v>0.0714285714285714</v>
      </c>
      <c r="K105" s="8" t="s">
        <v>33</v>
      </c>
    </row>
    <row r="106" customFormat="false" ht="15" hidden="false" customHeight="false" outlineLevel="0" collapsed="false">
      <c r="A106" s="8" t="n">
        <v>105</v>
      </c>
      <c r="B106" s="8" t="s">
        <v>281</v>
      </c>
      <c r="C106" s="8" t="s">
        <v>27</v>
      </c>
      <c r="D106" s="8" t="s">
        <v>28</v>
      </c>
      <c r="E106" s="8" t="s">
        <v>282</v>
      </c>
      <c r="F106" s="8" t="s">
        <v>42</v>
      </c>
      <c r="G106" s="8" t="s">
        <v>43</v>
      </c>
      <c r="H106" s="8" t="s">
        <v>44</v>
      </c>
      <c r="I106" s="8" t="s">
        <v>45</v>
      </c>
      <c r="J106" s="9" t="n">
        <v>0.166666666666667</v>
      </c>
      <c r="K106" s="8" t="s">
        <v>33</v>
      </c>
    </row>
    <row r="107" customFormat="false" ht="15" hidden="false" customHeight="false" outlineLevel="0" collapsed="false">
      <c r="A107" s="8" t="n">
        <v>106</v>
      </c>
      <c r="B107" s="8" t="s">
        <v>283</v>
      </c>
      <c r="C107" s="8" t="s">
        <v>27</v>
      </c>
      <c r="D107" s="8" t="s">
        <v>28</v>
      </c>
      <c r="E107" s="8" t="s">
        <v>284</v>
      </c>
      <c r="F107" s="8" t="s">
        <v>71</v>
      </c>
      <c r="G107" s="8" t="s">
        <v>72</v>
      </c>
      <c r="H107" s="8" t="s">
        <v>73</v>
      </c>
      <c r="I107" s="8" t="s">
        <v>74</v>
      </c>
      <c r="J107" s="9" t="n">
        <v>0.142857142857143</v>
      </c>
      <c r="K107" s="8" t="s">
        <v>33</v>
      </c>
    </row>
    <row r="108" customFormat="false" ht="15" hidden="false" customHeight="false" outlineLevel="0" collapsed="false">
      <c r="A108" s="8" t="n">
        <v>107</v>
      </c>
      <c r="B108" s="8" t="s">
        <v>285</v>
      </c>
      <c r="C108" s="8" t="s">
        <v>27</v>
      </c>
      <c r="D108" s="8" t="s">
        <v>28</v>
      </c>
      <c r="E108" s="8" t="s">
        <v>286</v>
      </c>
      <c r="F108" s="8" t="s">
        <v>42</v>
      </c>
      <c r="G108" s="8" t="s">
        <v>43</v>
      </c>
      <c r="H108" s="8" t="s">
        <v>44</v>
      </c>
      <c r="I108" s="8" t="s">
        <v>45</v>
      </c>
      <c r="J108" s="9" t="n">
        <v>0.222222222222222</v>
      </c>
      <c r="K108" s="8" t="s">
        <v>33</v>
      </c>
    </row>
    <row r="109" customFormat="false" ht="15" hidden="false" customHeight="false" outlineLevel="0" collapsed="false">
      <c r="A109" s="8" t="n">
        <v>108</v>
      </c>
      <c r="B109" s="8" t="s">
        <v>287</v>
      </c>
      <c r="C109" s="8" t="s">
        <v>27</v>
      </c>
      <c r="D109" s="8" t="s">
        <v>28</v>
      </c>
      <c r="E109" s="8" t="s">
        <v>288</v>
      </c>
      <c r="F109" s="8" t="s">
        <v>42</v>
      </c>
      <c r="G109" s="8" t="s">
        <v>43</v>
      </c>
      <c r="H109" s="8" t="s">
        <v>44</v>
      </c>
      <c r="I109" s="8" t="s">
        <v>45</v>
      </c>
      <c r="J109" s="9" t="n">
        <v>0.111111111111111</v>
      </c>
      <c r="K109" s="8" t="s">
        <v>33</v>
      </c>
    </row>
    <row r="110" customFormat="false" ht="15" hidden="false" customHeight="false" outlineLevel="0" collapsed="false">
      <c r="A110" s="8" t="n">
        <v>109</v>
      </c>
      <c r="B110" s="8" t="s">
        <v>289</v>
      </c>
      <c r="C110" s="8" t="s">
        <v>27</v>
      </c>
      <c r="D110" s="8" t="s">
        <v>28</v>
      </c>
      <c r="E110" s="8" t="s">
        <v>290</v>
      </c>
      <c r="F110" s="8" t="s">
        <v>42</v>
      </c>
      <c r="G110" s="8" t="s">
        <v>43</v>
      </c>
      <c r="H110" s="8" t="s">
        <v>44</v>
      </c>
      <c r="I110" s="8" t="s">
        <v>45</v>
      </c>
      <c r="J110" s="9" t="n">
        <v>0.166666666666667</v>
      </c>
      <c r="K110" s="8" t="s">
        <v>33</v>
      </c>
    </row>
    <row r="111" customFormat="false" ht="15" hidden="false" customHeight="false" outlineLevel="0" collapsed="false">
      <c r="A111" s="8" t="n">
        <v>110</v>
      </c>
      <c r="B111" s="8" t="s">
        <v>291</v>
      </c>
      <c r="C111" s="8" t="s">
        <v>27</v>
      </c>
      <c r="D111" s="8" t="s">
        <v>28</v>
      </c>
      <c r="E111" s="8" t="s">
        <v>292</v>
      </c>
      <c r="F111" s="8" t="s">
        <v>97</v>
      </c>
      <c r="G111" s="8" t="s">
        <v>98</v>
      </c>
      <c r="H111" s="8" t="s">
        <v>99</v>
      </c>
      <c r="I111" s="8" t="s">
        <v>100</v>
      </c>
      <c r="J111" s="9" t="n">
        <v>0.142857142857143</v>
      </c>
      <c r="K111" s="8" t="s">
        <v>33</v>
      </c>
    </row>
    <row r="112" customFormat="false" ht="15" hidden="false" customHeight="false" outlineLevel="0" collapsed="false">
      <c r="A112" s="8" t="n">
        <v>111</v>
      </c>
      <c r="B112" s="8" t="s">
        <v>293</v>
      </c>
      <c r="C112" s="8" t="s">
        <v>27</v>
      </c>
      <c r="D112" s="8" t="s">
        <v>28</v>
      </c>
      <c r="E112" s="8" t="s">
        <v>294</v>
      </c>
      <c r="F112" s="8" t="s">
        <v>42</v>
      </c>
      <c r="G112" s="8" t="s">
        <v>43</v>
      </c>
      <c r="H112" s="8" t="s">
        <v>44</v>
      </c>
      <c r="I112" s="8" t="s">
        <v>45</v>
      </c>
      <c r="J112" s="9" t="n">
        <v>0.166666666666667</v>
      </c>
      <c r="K112" s="8" t="s">
        <v>33</v>
      </c>
    </row>
    <row r="113" customFormat="false" ht="15" hidden="false" customHeight="false" outlineLevel="0" collapsed="false">
      <c r="A113" s="8" t="n">
        <v>112</v>
      </c>
      <c r="B113" s="8" t="s">
        <v>295</v>
      </c>
      <c r="C113" s="8" t="s">
        <v>27</v>
      </c>
      <c r="D113" s="8" t="s">
        <v>28</v>
      </c>
      <c r="E113" s="8" t="s">
        <v>296</v>
      </c>
      <c r="F113" s="8" t="s">
        <v>48</v>
      </c>
      <c r="G113" s="8" t="s">
        <v>49</v>
      </c>
      <c r="H113" s="8" t="s">
        <v>50</v>
      </c>
      <c r="I113" s="8" t="s">
        <v>49</v>
      </c>
      <c r="J113" s="9" t="n">
        <v>0.25</v>
      </c>
      <c r="K113" s="8" t="s">
        <v>33</v>
      </c>
    </row>
    <row r="114" customFormat="false" ht="15" hidden="false" customHeight="false" outlineLevel="0" collapsed="false">
      <c r="A114" s="8" t="n">
        <v>113</v>
      </c>
      <c r="B114" s="8" t="s">
        <v>297</v>
      </c>
      <c r="C114" s="8" t="s">
        <v>27</v>
      </c>
      <c r="D114" s="8" t="s">
        <v>28</v>
      </c>
      <c r="E114" s="8" t="s">
        <v>298</v>
      </c>
      <c r="F114" s="8" t="s">
        <v>48</v>
      </c>
      <c r="G114" s="8" t="s">
        <v>49</v>
      </c>
      <c r="H114" s="8" t="s">
        <v>50</v>
      </c>
      <c r="I114" s="8" t="s">
        <v>49</v>
      </c>
      <c r="J114" s="9" t="n">
        <v>0.25</v>
      </c>
      <c r="K114" s="8" t="s">
        <v>33</v>
      </c>
    </row>
    <row r="115" customFormat="false" ht="15" hidden="false" customHeight="false" outlineLevel="0" collapsed="false">
      <c r="A115" s="8" t="n">
        <v>114</v>
      </c>
      <c r="B115" s="8" t="s">
        <v>299</v>
      </c>
      <c r="C115" s="8" t="s">
        <v>27</v>
      </c>
      <c r="D115" s="8" t="s">
        <v>28</v>
      </c>
      <c r="E115" s="8" t="s">
        <v>300</v>
      </c>
      <c r="F115" s="8" t="s">
        <v>42</v>
      </c>
      <c r="G115" s="8" t="s">
        <v>43</v>
      </c>
      <c r="H115" s="8" t="s">
        <v>44</v>
      </c>
      <c r="I115" s="8" t="s">
        <v>45</v>
      </c>
      <c r="J115" s="9" t="n">
        <v>0.444444444444444</v>
      </c>
      <c r="K115" s="8" t="s">
        <v>33</v>
      </c>
    </row>
    <row r="116" customFormat="false" ht="15" hidden="false" customHeight="false" outlineLevel="0" collapsed="false">
      <c r="A116" s="8" t="n">
        <v>115</v>
      </c>
      <c r="B116" s="8" t="s">
        <v>301</v>
      </c>
      <c r="C116" s="8" t="s">
        <v>27</v>
      </c>
      <c r="D116" s="8" t="s">
        <v>28</v>
      </c>
      <c r="E116" s="8" t="s">
        <v>302</v>
      </c>
      <c r="F116" s="8" t="s">
        <v>48</v>
      </c>
      <c r="G116" s="8" t="s">
        <v>49</v>
      </c>
      <c r="H116" s="8" t="s">
        <v>50</v>
      </c>
      <c r="I116" s="8" t="s">
        <v>49</v>
      </c>
      <c r="J116" s="9" t="n">
        <v>0.125</v>
      </c>
      <c r="K116" s="8" t="s">
        <v>33</v>
      </c>
    </row>
    <row r="117" customFormat="false" ht="15" hidden="false" customHeight="false" outlineLevel="0" collapsed="false">
      <c r="A117" s="8" t="n">
        <v>116</v>
      </c>
      <c r="B117" s="8" t="s">
        <v>303</v>
      </c>
      <c r="C117" s="8" t="s">
        <v>27</v>
      </c>
      <c r="D117" s="8" t="s">
        <v>28</v>
      </c>
      <c r="E117" s="8" t="s">
        <v>304</v>
      </c>
      <c r="F117" s="8" t="s">
        <v>305</v>
      </c>
      <c r="G117" s="8" t="s">
        <v>306</v>
      </c>
      <c r="H117" s="8" t="s">
        <v>307</v>
      </c>
      <c r="I117" s="8" t="s">
        <v>306</v>
      </c>
      <c r="J117" s="9" t="n">
        <v>0</v>
      </c>
      <c r="K117" s="8" t="s">
        <v>33</v>
      </c>
    </row>
    <row r="118" customFormat="false" ht="15" hidden="false" customHeight="false" outlineLevel="0" collapsed="false">
      <c r="A118" s="8" t="n">
        <v>117</v>
      </c>
      <c r="B118" s="8" t="s">
        <v>308</v>
      </c>
      <c r="C118" s="8" t="s">
        <v>27</v>
      </c>
      <c r="D118" s="8" t="s">
        <v>28</v>
      </c>
      <c r="E118" s="8" t="s">
        <v>309</v>
      </c>
      <c r="F118" s="8" t="s">
        <v>30</v>
      </c>
      <c r="G118" s="8" t="s">
        <v>31</v>
      </c>
      <c r="H118" s="8" t="s">
        <v>32</v>
      </c>
      <c r="I118" s="8" t="s">
        <v>31</v>
      </c>
      <c r="J118" s="9" t="n">
        <v>0.117647058823529</v>
      </c>
      <c r="K118" s="8" t="s">
        <v>33</v>
      </c>
    </row>
    <row r="119" customFormat="false" ht="15" hidden="false" customHeight="false" outlineLevel="0" collapsed="false">
      <c r="A119" s="8" t="n">
        <v>118</v>
      </c>
      <c r="B119" s="8" t="s">
        <v>310</v>
      </c>
      <c r="C119" s="8" t="s">
        <v>27</v>
      </c>
      <c r="D119" s="8" t="s">
        <v>28</v>
      </c>
      <c r="E119" s="8" t="s">
        <v>311</v>
      </c>
      <c r="F119" s="8" t="s">
        <v>71</v>
      </c>
      <c r="G119" s="8" t="s">
        <v>72</v>
      </c>
      <c r="H119" s="8" t="s">
        <v>73</v>
      </c>
      <c r="I119" s="8" t="s">
        <v>74</v>
      </c>
      <c r="J119" s="9" t="n">
        <v>0.0714285714285714</v>
      </c>
      <c r="K119" s="8" t="s">
        <v>33</v>
      </c>
    </row>
    <row r="120" customFormat="false" ht="15" hidden="false" customHeight="false" outlineLevel="0" collapsed="false">
      <c r="A120" s="8" t="n">
        <v>119</v>
      </c>
      <c r="B120" s="8" t="s">
        <v>312</v>
      </c>
      <c r="C120" s="8" t="s">
        <v>27</v>
      </c>
      <c r="D120" s="8" t="s">
        <v>28</v>
      </c>
      <c r="E120" s="8" t="s">
        <v>313</v>
      </c>
      <c r="F120" s="8" t="s">
        <v>42</v>
      </c>
      <c r="G120" s="8" t="s">
        <v>43</v>
      </c>
      <c r="H120" s="8" t="s">
        <v>44</v>
      </c>
      <c r="I120" s="8" t="s">
        <v>45</v>
      </c>
      <c r="J120" s="9" t="n">
        <v>0.5</v>
      </c>
      <c r="K120" s="8" t="s">
        <v>33</v>
      </c>
    </row>
    <row r="121" customFormat="false" ht="15" hidden="false" customHeight="false" outlineLevel="0" collapsed="false">
      <c r="A121" s="8" t="n">
        <v>120</v>
      </c>
      <c r="B121" s="8" t="s">
        <v>314</v>
      </c>
      <c r="C121" s="8" t="s">
        <v>27</v>
      </c>
      <c r="D121" s="8" t="s">
        <v>28</v>
      </c>
      <c r="E121" s="8" t="s">
        <v>315</v>
      </c>
      <c r="F121" s="8" t="s">
        <v>48</v>
      </c>
      <c r="G121" s="8" t="s">
        <v>49</v>
      </c>
      <c r="H121" s="8" t="s">
        <v>50</v>
      </c>
      <c r="I121" s="8" t="s">
        <v>49</v>
      </c>
      <c r="J121" s="9" t="n">
        <v>0.1875</v>
      </c>
      <c r="K121" s="8" t="s">
        <v>33</v>
      </c>
    </row>
    <row r="122" customFormat="false" ht="15" hidden="false" customHeight="false" outlineLevel="0" collapsed="false">
      <c r="A122" s="8" t="n">
        <v>121</v>
      </c>
      <c r="B122" s="8" t="s">
        <v>316</v>
      </c>
      <c r="C122" s="8" t="s">
        <v>27</v>
      </c>
      <c r="D122" s="8" t="s">
        <v>28</v>
      </c>
      <c r="E122" s="8" t="s">
        <v>317</v>
      </c>
      <c r="F122" s="8" t="s">
        <v>97</v>
      </c>
      <c r="G122" s="8" t="s">
        <v>98</v>
      </c>
      <c r="H122" s="8" t="s">
        <v>99</v>
      </c>
      <c r="I122" s="8" t="s">
        <v>100</v>
      </c>
      <c r="J122" s="9" t="n">
        <v>0.142857142857143</v>
      </c>
      <c r="K122" s="8" t="s">
        <v>33</v>
      </c>
    </row>
    <row r="123" customFormat="false" ht="15" hidden="false" customHeight="false" outlineLevel="0" collapsed="false">
      <c r="A123" s="8" t="n">
        <v>122</v>
      </c>
      <c r="B123" s="8" t="s">
        <v>318</v>
      </c>
      <c r="C123" s="8" t="s">
        <v>27</v>
      </c>
      <c r="D123" s="8" t="s">
        <v>28</v>
      </c>
      <c r="E123" s="8" t="s">
        <v>319</v>
      </c>
      <c r="F123" s="8" t="s">
        <v>320</v>
      </c>
      <c r="G123" s="8" t="s">
        <v>321</v>
      </c>
      <c r="H123" s="8" t="s">
        <v>322</v>
      </c>
      <c r="I123" s="8" t="s">
        <v>321</v>
      </c>
      <c r="J123" s="9" t="n">
        <v>0.666666666666667</v>
      </c>
      <c r="K123" s="8" t="s">
        <v>33</v>
      </c>
    </row>
    <row r="124" customFormat="false" ht="15" hidden="false" customHeight="false" outlineLevel="0" collapsed="false">
      <c r="A124" s="8" t="n">
        <v>123</v>
      </c>
      <c r="B124" s="8" t="s">
        <v>323</v>
      </c>
      <c r="C124" s="8" t="s">
        <v>27</v>
      </c>
      <c r="D124" s="8" t="s">
        <v>28</v>
      </c>
      <c r="E124" s="8" t="s">
        <v>324</v>
      </c>
      <c r="F124" s="8" t="s">
        <v>48</v>
      </c>
      <c r="G124" s="8" t="s">
        <v>49</v>
      </c>
      <c r="H124" s="8" t="s">
        <v>50</v>
      </c>
      <c r="I124" s="8" t="s">
        <v>49</v>
      </c>
      <c r="J124" s="9" t="n">
        <v>0.125</v>
      </c>
      <c r="K124" s="8" t="s">
        <v>33</v>
      </c>
    </row>
    <row r="125" customFormat="false" ht="15" hidden="false" customHeight="false" outlineLevel="0" collapsed="false">
      <c r="A125" s="8" t="n">
        <v>124</v>
      </c>
      <c r="B125" s="8" t="s">
        <v>325</v>
      </c>
      <c r="C125" s="8" t="s">
        <v>27</v>
      </c>
      <c r="D125" s="8" t="s">
        <v>28</v>
      </c>
      <c r="E125" s="8" t="s">
        <v>326</v>
      </c>
      <c r="F125" s="8" t="s">
        <v>71</v>
      </c>
      <c r="G125" s="8" t="s">
        <v>72</v>
      </c>
      <c r="H125" s="8" t="s">
        <v>73</v>
      </c>
      <c r="I125" s="8" t="s">
        <v>74</v>
      </c>
      <c r="J125" s="9" t="n">
        <v>0.0714285714285714</v>
      </c>
      <c r="K125" s="8" t="s">
        <v>33</v>
      </c>
    </row>
    <row r="126" customFormat="false" ht="15" hidden="false" customHeight="false" outlineLevel="0" collapsed="false">
      <c r="A126" s="8" t="n">
        <v>125</v>
      </c>
      <c r="B126" s="8" t="s">
        <v>327</v>
      </c>
      <c r="C126" s="8" t="s">
        <v>27</v>
      </c>
      <c r="D126" s="8" t="s">
        <v>28</v>
      </c>
      <c r="E126" s="8" t="s">
        <v>328</v>
      </c>
      <c r="F126" s="8" t="s">
        <v>48</v>
      </c>
      <c r="G126" s="8" t="s">
        <v>49</v>
      </c>
      <c r="H126" s="8" t="s">
        <v>50</v>
      </c>
      <c r="I126" s="8" t="s">
        <v>49</v>
      </c>
      <c r="J126" s="9" t="n">
        <v>0.5</v>
      </c>
      <c r="K126" s="8" t="s">
        <v>33</v>
      </c>
    </row>
    <row r="127" customFormat="false" ht="15" hidden="false" customHeight="false" outlineLevel="0" collapsed="false">
      <c r="A127" s="8" t="n">
        <v>126</v>
      </c>
      <c r="B127" s="8" t="s">
        <v>329</v>
      </c>
      <c r="C127" s="8" t="s">
        <v>27</v>
      </c>
      <c r="D127" s="8" t="s">
        <v>28</v>
      </c>
      <c r="E127" s="8" t="s">
        <v>330</v>
      </c>
      <c r="F127" s="8" t="s">
        <v>48</v>
      </c>
      <c r="G127" s="8" t="s">
        <v>49</v>
      </c>
      <c r="H127" s="8" t="s">
        <v>50</v>
      </c>
      <c r="I127" s="8" t="s">
        <v>49</v>
      </c>
      <c r="J127" s="9" t="n">
        <v>0.1875</v>
      </c>
      <c r="K127" s="8" t="s">
        <v>33</v>
      </c>
    </row>
    <row r="128" customFormat="false" ht="15" hidden="false" customHeight="false" outlineLevel="0" collapsed="false">
      <c r="A128" s="8" t="n">
        <v>127</v>
      </c>
      <c r="B128" s="8" t="s">
        <v>331</v>
      </c>
      <c r="C128" s="8" t="s">
        <v>27</v>
      </c>
      <c r="D128" s="8" t="s">
        <v>28</v>
      </c>
      <c r="E128" s="8" t="s">
        <v>332</v>
      </c>
      <c r="F128" s="8" t="s">
        <v>42</v>
      </c>
      <c r="G128" s="8" t="s">
        <v>43</v>
      </c>
      <c r="H128" s="8" t="s">
        <v>44</v>
      </c>
      <c r="I128" s="8" t="s">
        <v>45</v>
      </c>
      <c r="J128" s="9" t="n">
        <v>0.333333333333333</v>
      </c>
      <c r="K128" s="8" t="s">
        <v>33</v>
      </c>
    </row>
    <row r="129" customFormat="false" ht="15" hidden="false" customHeight="false" outlineLevel="0" collapsed="false">
      <c r="A129" s="8" t="n">
        <v>128</v>
      </c>
      <c r="B129" s="8" t="s">
        <v>333</v>
      </c>
      <c r="C129" s="8" t="s">
        <v>27</v>
      </c>
      <c r="D129" s="8" t="s">
        <v>28</v>
      </c>
      <c r="E129" s="8" t="s">
        <v>334</v>
      </c>
      <c r="F129" s="8" t="s">
        <v>42</v>
      </c>
      <c r="G129" s="8" t="s">
        <v>43</v>
      </c>
      <c r="H129" s="8" t="s">
        <v>44</v>
      </c>
      <c r="I129" s="8" t="s">
        <v>45</v>
      </c>
      <c r="J129" s="9" t="n">
        <v>0.388888888888889</v>
      </c>
      <c r="K129" s="8" t="s">
        <v>33</v>
      </c>
    </row>
    <row r="130" customFormat="false" ht="15" hidden="false" customHeight="false" outlineLevel="0" collapsed="false">
      <c r="A130" s="8" t="n">
        <v>129</v>
      </c>
      <c r="B130" s="8" t="s">
        <v>335</v>
      </c>
      <c r="C130" s="8" t="s">
        <v>27</v>
      </c>
      <c r="D130" s="8" t="s">
        <v>28</v>
      </c>
      <c r="E130" s="8" t="s">
        <v>336</v>
      </c>
      <c r="F130" s="8" t="s">
        <v>53</v>
      </c>
      <c r="G130" s="8" t="s">
        <v>54</v>
      </c>
      <c r="H130" s="8" t="s">
        <v>55</v>
      </c>
      <c r="I130" s="8" t="s">
        <v>56</v>
      </c>
      <c r="J130" s="9" t="n">
        <v>0.285714285714286</v>
      </c>
      <c r="K130" s="8" t="s">
        <v>33</v>
      </c>
    </row>
    <row r="131" customFormat="false" ht="15" hidden="false" customHeight="false" outlineLevel="0" collapsed="false">
      <c r="A131" s="8" t="n">
        <v>130</v>
      </c>
      <c r="B131" s="8" t="s">
        <v>337</v>
      </c>
      <c r="C131" s="8" t="s">
        <v>27</v>
      </c>
      <c r="D131" s="8" t="s">
        <v>28</v>
      </c>
      <c r="E131" s="8" t="s">
        <v>338</v>
      </c>
      <c r="F131" s="8" t="s">
        <v>339</v>
      </c>
      <c r="G131" s="8" t="s">
        <v>340</v>
      </c>
      <c r="H131" s="8" t="s">
        <v>341</v>
      </c>
      <c r="I131" s="8" t="s">
        <v>342</v>
      </c>
      <c r="J131" s="9" t="n">
        <v>0.666666666666667</v>
      </c>
      <c r="K131" s="8" t="s">
        <v>33</v>
      </c>
    </row>
    <row r="132" customFormat="false" ht="15" hidden="false" customHeight="false" outlineLevel="0" collapsed="false">
      <c r="A132" s="8" t="n">
        <v>131</v>
      </c>
      <c r="B132" s="8" t="s">
        <v>343</v>
      </c>
      <c r="C132" s="8" t="s">
        <v>27</v>
      </c>
      <c r="D132" s="8" t="s">
        <v>28</v>
      </c>
      <c r="E132" s="8" t="s">
        <v>344</v>
      </c>
      <c r="F132" s="8" t="s">
        <v>53</v>
      </c>
      <c r="G132" s="8" t="s">
        <v>54</v>
      </c>
      <c r="H132" s="8" t="s">
        <v>55</v>
      </c>
      <c r="I132" s="8" t="s">
        <v>56</v>
      </c>
      <c r="J132" s="9" t="n">
        <v>0.285714285714286</v>
      </c>
      <c r="K132" s="8" t="s">
        <v>33</v>
      </c>
    </row>
    <row r="133" customFormat="false" ht="15" hidden="false" customHeight="false" outlineLevel="0" collapsed="false">
      <c r="A133" s="8" t="n">
        <v>132</v>
      </c>
      <c r="B133" s="8" t="s">
        <v>345</v>
      </c>
      <c r="C133" s="8" t="s">
        <v>27</v>
      </c>
      <c r="D133" s="8" t="s">
        <v>28</v>
      </c>
      <c r="E133" s="8" t="s">
        <v>346</v>
      </c>
      <c r="F133" s="8" t="s">
        <v>42</v>
      </c>
      <c r="G133" s="8" t="s">
        <v>43</v>
      </c>
      <c r="H133" s="8" t="s">
        <v>44</v>
      </c>
      <c r="I133" s="8" t="s">
        <v>45</v>
      </c>
      <c r="J133" s="9" t="n">
        <v>0.611111111111111</v>
      </c>
      <c r="K133" s="8" t="s">
        <v>33</v>
      </c>
    </row>
    <row r="134" customFormat="false" ht="15" hidden="false" customHeight="false" outlineLevel="0" collapsed="false">
      <c r="A134" s="8" t="n">
        <v>133</v>
      </c>
      <c r="B134" s="8" t="s">
        <v>347</v>
      </c>
      <c r="C134" s="8" t="s">
        <v>27</v>
      </c>
      <c r="D134" s="8" t="s">
        <v>28</v>
      </c>
      <c r="E134" s="8" t="s">
        <v>348</v>
      </c>
      <c r="F134" s="8" t="s">
        <v>48</v>
      </c>
      <c r="G134" s="8" t="s">
        <v>49</v>
      </c>
      <c r="H134" s="8" t="s">
        <v>50</v>
      </c>
      <c r="I134" s="8" t="s">
        <v>49</v>
      </c>
      <c r="J134" s="9" t="n">
        <v>0.1875</v>
      </c>
      <c r="K134" s="8" t="s">
        <v>33</v>
      </c>
    </row>
    <row r="135" customFormat="false" ht="15" hidden="false" customHeight="false" outlineLevel="0" collapsed="false">
      <c r="A135" s="8" t="n">
        <v>134</v>
      </c>
      <c r="B135" s="8" t="s">
        <v>349</v>
      </c>
      <c r="C135" s="8" t="s">
        <v>27</v>
      </c>
      <c r="D135" s="8" t="s">
        <v>28</v>
      </c>
      <c r="E135" s="8" t="s">
        <v>350</v>
      </c>
      <c r="F135" s="8" t="s">
        <v>48</v>
      </c>
      <c r="G135" s="8" t="s">
        <v>49</v>
      </c>
      <c r="H135" s="8" t="s">
        <v>50</v>
      </c>
      <c r="I135" s="8" t="s">
        <v>49</v>
      </c>
      <c r="J135" s="9" t="n">
        <v>0.0625</v>
      </c>
      <c r="K135" s="8" t="s">
        <v>33</v>
      </c>
    </row>
    <row r="136" customFormat="false" ht="15" hidden="false" customHeight="false" outlineLevel="0" collapsed="false">
      <c r="A136" s="8" t="n">
        <v>135</v>
      </c>
      <c r="B136" s="8" t="s">
        <v>351</v>
      </c>
      <c r="C136" s="8" t="s">
        <v>27</v>
      </c>
      <c r="D136" s="8" t="s">
        <v>28</v>
      </c>
      <c r="E136" s="8" t="s">
        <v>352</v>
      </c>
      <c r="F136" s="8" t="s">
        <v>71</v>
      </c>
      <c r="G136" s="8" t="s">
        <v>72</v>
      </c>
      <c r="H136" s="8" t="s">
        <v>73</v>
      </c>
      <c r="I136" s="8" t="s">
        <v>74</v>
      </c>
      <c r="J136" s="9" t="n">
        <v>0.142857142857143</v>
      </c>
      <c r="K136" s="8" t="s">
        <v>33</v>
      </c>
    </row>
    <row r="137" customFormat="false" ht="15" hidden="false" customHeight="false" outlineLevel="0" collapsed="false">
      <c r="A137" s="8" t="n">
        <v>136</v>
      </c>
      <c r="B137" s="8" t="s">
        <v>353</v>
      </c>
      <c r="C137" s="8" t="s">
        <v>27</v>
      </c>
      <c r="D137" s="8" t="s">
        <v>28</v>
      </c>
      <c r="E137" s="8" t="s">
        <v>354</v>
      </c>
      <c r="F137" s="8" t="s">
        <v>30</v>
      </c>
      <c r="G137" s="8" t="s">
        <v>31</v>
      </c>
      <c r="H137" s="8" t="s">
        <v>32</v>
      </c>
      <c r="I137" s="8" t="s">
        <v>31</v>
      </c>
      <c r="J137" s="9" t="n">
        <v>0.0588235294117647</v>
      </c>
      <c r="K137" s="8" t="s">
        <v>33</v>
      </c>
    </row>
    <row r="138" customFormat="false" ht="15" hidden="false" customHeight="false" outlineLevel="0" collapsed="false">
      <c r="A138" s="8" t="n">
        <v>137</v>
      </c>
      <c r="B138" s="8" t="s">
        <v>355</v>
      </c>
      <c r="C138" s="8" t="s">
        <v>27</v>
      </c>
      <c r="D138" s="8" t="s">
        <v>28</v>
      </c>
      <c r="E138" s="8" t="s">
        <v>356</v>
      </c>
      <c r="F138" s="8" t="s">
        <v>48</v>
      </c>
      <c r="G138" s="8" t="s">
        <v>49</v>
      </c>
      <c r="H138" s="8" t="s">
        <v>50</v>
      </c>
      <c r="I138" s="8" t="s">
        <v>49</v>
      </c>
      <c r="J138" s="9" t="n">
        <v>0.1875</v>
      </c>
      <c r="K138" s="8" t="s">
        <v>33</v>
      </c>
    </row>
    <row r="139" customFormat="false" ht="15" hidden="false" customHeight="false" outlineLevel="0" collapsed="false">
      <c r="A139" s="8" t="n">
        <v>138</v>
      </c>
      <c r="B139" s="8" t="s">
        <v>357</v>
      </c>
      <c r="C139" s="8" t="s">
        <v>27</v>
      </c>
      <c r="D139" s="8" t="s">
        <v>28</v>
      </c>
      <c r="E139" s="8" t="s">
        <v>358</v>
      </c>
      <c r="F139" s="8" t="s">
        <v>48</v>
      </c>
      <c r="G139" s="8" t="s">
        <v>49</v>
      </c>
      <c r="H139" s="8" t="s">
        <v>50</v>
      </c>
      <c r="I139" s="8" t="s">
        <v>49</v>
      </c>
      <c r="J139" s="9" t="n">
        <v>0.25</v>
      </c>
      <c r="K139" s="8" t="s">
        <v>33</v>
      </c>
    </row>
    <row r="140" customFormat="false" ht="15" hidden="false" customHeight="false" outlineLevel="0" collapsed="false">
      <c r="A140" s="8" t="n">
        <v>139</v>
      </c>
      <c r="B140" s="8" t="s">
        <v>359</v>
      </c>
      <c r="C140" s="8" t="s">
        <v>27</v>
      </c>
      <c r="D140" s="8" t="s">
        <v>28</v>
      </c>
      <c r="E140" s="8" t="s">
        <v>360</v>
      </c>
      <c r="F140" s="8" t="s">
        <v>48</v>
      </c>
      <c r="G140" s="8" t="s">
        <v>49</v>
      </c>
      <c r="H140" s="8" t="s">
        <v>50</v>
      </c>
      <c r="I140" s="8" t="s">
        <v>49</v>
      </c>
      <c r="J140" s="9" t="n">
        <v>0.1875</v>
      </c>
      <c r="K140" s="8" t="s">
        <v>33</v>
      </c>
    </row>
    <row r="141" customFormat="false" ht="15" hidden="false" customHeight="false" outlineLevel="0" collapsed="false">
      <c r="A141" s="8" t="n">
        <v>140</v>
      </c>
      <c r="B141" s="8" t="s">
        <v>361</v>
      </c>
      <c r="C141" s="8" t="s">
        <v>27</v>
      </c>
      <c r="D141" s="8" t="s">
        <v>28</v>
      </c>
      <c r="E141" s="8" t="s">
        <v>362</v>
      </c>
      <c r="F141" s="8" t="s">
        <v>42</v>
      </c>
      <c r="G141" s="8" t="s">
        <v>43</v>
      </c>
      <c r="H141" s="8" t="s">
        <v>44</v>
      </c>
      <c r="I141" s="8" t="s">
        <v>45</v>
      </c>
      <c r="J141" s="9" t="n">
        <v>0.222222222222222</v>
      </c>
      <c r="K141" s="8" t="s">
        <v>33</v>
      </c>
    </row>
    <row r="142" customFormat="false" ht="15" hidden="false" customHeight="false" outlineLevel="0" collapsed="false">
      <c r="A142" s="8" t="n">
        <v>141</v>
      </c>
      <c r="B142" s="8" t="s">
        <v>363</v>
      </c>
      <c r="C142" s="8" t="s">
        <v>27</v>
      </c>
      <c r="D142" s="8" t="s">
        <v>28</v>
      </c>
      <c r="E142" s="8" t="s">
        <v>364</v>
      </c>
      <c r="F142" s="8" t="s">
        <v>42</v>
      </c>
      <c r="G142" s="8" t="s">
        <v>43</v>
      </c>
      <c r="H142" s="8" t="s">
        <v>44</v>
      </c>
      <c r="I142" s="8" t="s">
        <v>45</v>
      </c>
      <c r="J142" s="9" t="n">
        <v>0.5</v>
      </c>
      <c r="K142" s="8" t="s">
        <v>33</v>
      </c>
    </row>
    <row r="143" customFormat="false" ht="15" hidden="false" customHeight="false" outlineLevel="0" collapsed="false">
      <c r="A143" s="8" t="n">
        <v>142</v>
      </c>
      <c r="B143" s="8" t="s">
        <v>365</v>
      </c>
      <c r="C143" s="8" t="s">
        <v>27</v>
      </c>
      <c r="D143" s="8" t="s">
        <v>28</v>
      </c>
      <c r="E143" s="8" t="s">
        <v>366</v>
      </c>
      <c r="F143" s="8" t="s">
        <v>53</v>
      </c>
      <c r="G143" s="8" t="s">
        <v>54</v>
      </c>
      <c r="H143" s="8" t="s">
        <v>55</v>
      </c>
      <c r="I143" s="8" t="s">
        <v>56</v>
      </c>
      <c r="J143" s="9" t="n">
        <v>0.285714285714286</v>
      </c>
      <c r="K143" s="8" t="s">
        <v>33</v>
      </c>
    </row>
    <row r="144" customFormat="false" ht="15" hidden="false" customHeight="false" outlineLevel="0" collapsed="false">
      <c r="A144" s="8" t="n">
        <v>143</v>
      </c>
      <c r="B144" s="8" t="s">
        <v>367</v>
      </c>
      <c r="C144" s="8" t="s">
        <v>27</v>
      </c>
      <c r="D144" s="8" t="s">
        <v>28</v>
      </c>
      <c r="E144" s="8" t="s">
        <v>368</v>
      </c>
      <c r="F144" s="8" t="s">
        <v>271</v>
      </c>
      <c r="G144" s="8" t="s">
        <v>272</v>
      </c>
      <c r="H144" s="8" t="s">
        <v>273</v>
      </c>
      <c r="I144" s="8" t="s">
        <v>274</v>
      </c>
      <c r="J144" s="9" t="n">
        <v>0.5</v>
      </c>
      <c r="K144" s="8" t="s">
        <v>33</v>
      </c>
    </row>
    <row r="145" customFormat="false" ht="15" hidden="false" customHeight="false" outlineLevel="0" collapsed="false">
      <c r="A145" s="8" t="n">
        <v>144</v>
      </c>
      <c r="B145" s="8" t="s">
        <v>369</v>
      </c>
      <c r="C145" s="8" t="s">
        <v>27</v>
      </c>
      <c r="D145" s="8" t="s">
        <v>28</v>
      </c>
      <c r="E145" s="8" t="s">
        <v>370</v>
      </c>
      <c r="F145" s="8" t="s">
        <v>42</v>
      </c>
      <c r="G145" s="8" t="s">
        <v>43</v>
      </c>
      <c r="H145" s="8" t="s">
        <v>44</v>
      </c>
      <c r="I145" s="8" t="s">
        <v>45</v>
      </c>
      <c r="J145" s="9" t="n">
        <v>0.333333333333333</v>
      </c>
      <c r="K145" s="8" t="s">
        <v>33</v>
      </c>
    </row>
    <row r="146" customFormat="false" ht="15" hidden="false" customHeight="false" outlineLevel="0" collapsed="false">
      <c r="A146" s="8" t="n">
        <v>145</v>
      </c>
      <c r="B146" s="8" t="s">
        <v>371</v>
      </c>
      <c r="C146" s="8" t="s">
        <v>27</v>
      </c>
      <c r="D146" s="8" t="s">
        <v>28</v>
      </c>
      <c r="E146" s="8" t="s">
        <v>372</v>
      </c>
      <c r="F146" s="8" t="s">
        <v>42</v>
      </c>
      <c r="G146" s="8" t="s">
        <v>43</v>
      </c>
      <c r="H146" s="8" t="s">
        <v>44</v>
      </c>
      <c r="I146" s="8" t="s">
        <v>45</v>
      </c>
      <c r="J146" s="9" t="n">
        <v>0.444444444444444</v>
      </c>
      <c r="K146" s="8" t="s">
        <v>33</v>
      </c>
    </row>
    <row r="147" customFormat="false" ht="15" hidden="false" customHeight="false" outlineLevel="0" collapsed="false">
      <c r="A147" s="8" t="n">
        <v>146</v>
      </c>
      <c r="B147" s="8" t="s">
        <v>373</v>
      </c>
      <c r="C147" s="8" t="s">
        <v>27</v>
      </c>
      <c r="D147" s="8" t="s">
        <v>28</v>
      </c>
      <c r="E147" s="8" t="s">
        <v>374</v>
      </c>
      <c r="F147" s="8" t="s">
        <v>42</v>
      </c>
      <c r="G147" s="8" t="s">
        <v>43</v>
      </c>
      <c r="H147" s="8" t="s">
        <v>44</v>
      </c>
      <c r="I147" s="8" t="s">
        <v>45</v>
      </c>
      <c r="J147" s="9" t="n">
        <v>0.333333333333333</v>
      </c>
      <c r="K147" s="8" t="s">
        <v>33</v>
      </c>
    </row>
    <row r="148" customFormat="false" ht="15" hidden="false" customHeight="false" outlineLevel="0" collapsed="false">
      <c r="A148" s="8" t="n">
        <v>147</v>
      </c>
      <c r="B148" s="8" t="s">
        <v>375</v>
      </c>
      <c r="C148" s="8" t="s">
        <v>27</v>
      </c>
      <c r="D148" s="8" t="s">
        <v>28</v>
      </c>
      <c r="E148" s="8" t="s">
        <v>376</v>
      </c>
      <c r="F148" s="8" t="s">
        <v>53</v>
      </c>
      <c r="G148" s="8" t="s">
        <v>54</v>
      </c>
      <c r="H148" s="8" t="s">
        <v>55</v>
      </c>
      <c r="I148" s="8" t="s">
        <v>56</v>
      </c>
      <c r="J148" s="9" t="n">
        <v>0.142857142857143</v>
      </c>
      <c r="K148" s="8" t="s">
        <v>33</v>
      </c>
    </row>
    <row r="149" customFormat="false" ht="15" hidden="false" customHeight="false" outlineLevel="0" collapsed="false">
      <c r="A149" s="8" t="n">
        <v>148</v>
      </c>
      <c r="B149" s="8" t="s">
        <v>377</v>
      </c>
      <c r="C149" s="8" t="s">
        <v>27</v>
      </c>
      <c r="D149" s="8" t="s">
        <v>28</v>
      </c>
      <c r="E149" s="8" t="s">
        <v>378</v>
      </c>
      <c r="F149" s="8" t="s">
        <v>42</v>
      </c>
      <c r="G149" s="8" t="s">
        <v>43</v>
      </c>
      <c r="H149" s="8" t="s">
        <v>44</v>
      </c>
      <c r="I149" s="8" t="s">
        <v>45</v>
      </c>
      <c r="J149" s="9" t="n">
        <v>0.277777777777778</v>
      </c>
      <c r="K149" s="8" t="s">
        <v>33</v>
      </c>
    </row>
    <row r="150" customFormat="false" ht="15" hidden="false" customHeight="false" outlineLevel="0" collapsed="false">
      <c r="A150" s="8" t="n">
        <v>149</v>
      </c>
      <c r="B150" s="8" t="s">
        <v>379</v>
      </c>
      <c r="C150" s="8" t="s">
        <v>27</v>
      </c>
      <c r="D150" s="8" t="s">
        <v>28</v>
      </c>
      <c r="E150" s="8" t="s">
        <v>380</v>
      </c>
      <c r="F150" s="8" t="s">
        <v>42</v>
      </c>
      <c r="G150" s="8" t="s">
        <v>43</v>
      </c>
      <c r="H150" s="8" t="s">
        <v>44</v>
      </c>
      <c r="I150" s="8" t="s">
        <v>45</v>
      </c>
      <c r="J150" s="9" t="n">
        <v>0.111111111111111</v>
      </c>
      <c r="K150" s="8" t="s">
        <v>33</v>
      </c>
    </row>
    <row r="151" customFormat="false" ht="15" hidden="false" customHeight="false" outlineLevel="0" collapsed="false">
      <c r="A151" s="8" t="n">
        <v>150</v>
      </c>
      <c r="B151" s="8" t="s">
        <v>381</v>
      </c>
      <c r="C151" s="8" t="s">
        <v>27</v>
      </c>
      <c r="D151" s="8" t="s">
        <v>28</v>
      </c>
      <c r="E151" s="8" t="s">
        <v>382</v>
      </c>
      <c r="F151" s="8" t="s">
        <v>48</v>
      </c>
      <c r="G151" s="8" t="s">
        <v>49</v>
      </c>
      <c r="H151" s="8" t="s">
        <v>50</v>
      </c>
      <c r="I151" s="8" t="s">
        <v>49</v>
      </c>
      <c r="J151" s="9" t="n">
        <v>0.4375</v>
      </c>
      <c r="K151" s="8" t="s">
        <v>33</v>
      </c>
    </row>
    <row r="152" customFormat="false" ht="15" hidden="false" customHeight="false" outlineLevel="0" collapsed="false">
      <c r="A152" s="8" t="n">
        <v>151</v>
      </c>
      <c r="B152" s="8" t="s">
        <v>383</v>
      </c>
      <c r="C152" s="8" t="s">
        <v>27</v>
      </c>
      <c r="D152" s="8" t="s">
        <v>28</v>
      </c>
      <c r="E152" s="8" t="s">
        <v>384</v>
      </c>
      <c r="F152" s="8" t="s">
        <v>42</v>
      </c>
      <c r="G152" s="8" t="s">
        <v>43</v>
      </c>
      <c r="H152" s="8" t="s">
        <v>44</v>
      </c>
      <c r="I152" s="8" t="s">
        <v>45</v>
      </c>
      <c r="J152" s="9" t="n">
        <v>0.166666666666667</v>
      </c>
      <c r="K152" s="8" t="s">
        <v>33</v>
      </c>
    </row>
    <row r="153" customFormat="false" ht="15" hidden="false" customHeight="false" outlineLevel="0" collapsed="false">
      <c r="A153" s="8" t="n">
        <v>152</v>
      </c>
      <c r="B153" s="8" t="s">
        <v>385</v>
      </c>
      <c r="C153" s="8" t="s">
        <v>27</v>
      </c>
      <c r="D153" s="8" t="s">
        <v>28</v>
      </c>
      <c r="E153" s="8" t="s">
        <v>386</v>
      </c>
      <c r="F153" s="8" t="s">
        <v>30</v>
      </c>
      <c r="G153" s="8" t="s">
        <v>31</v>
      </c>
      <c r="H153" s="8" t="s">
        <v>32</v>
      </c>
      <c r="I153" s="8" t="s">
        <v>31</v>
      </c>
      <c r="J153" s="9" t="n">
        <v>0.176470588235294</v>
      </c>
      <c r="K153" s="8" t="s">
        <v>33</v>
      </c>
    </row>
    <row r="154" customFormat="false" ht="15" hidden="false" customHeight="false" outlineLevel="0" collapsed="false">
      <c r="A154" s="8" t="n">
        <v>153</v>
      </c>
      <c r="B154" s="8" t="s">
        <v>387</v>
      </c>
      <c r="C154" s="8" t="s">
        <v>27</v>
      </c>
      <c r="D154" s="8" t="s">
        <v>28</v>
      </c>
      <c r="E154" s="8" t="s">
        <v>388</v>
      </c>
      <c r="F154" s="8" t="s">
        <v>48</v>
      </c>
      <c r="G154" s="8" t="s">
        <v>49</v>
      </c>
      <c r="H154" s="8" t="s">
        <v>50</v>
      </c>
      <c r="I154" s="8" t="s">
        <v>49</v>
      </c>
      <c r="J154" s="9" t="n">
        <v>0.125</v>
      </c>
      <c r="K154" s="8" t="s">
        <v>33</v>
      </c>
    </row>
    <row r="155" customFormat="false" ht="15" hidden="false" customHeight="false" outlineLevel="0" collapsed="false">
      <c r="A155" s="8" t="n">
        <v>154</v>
      </c>
      <c r="B155" s="8" t="s">
        <v>389</v>
      </c>
      <c r="C155" s="8" t="s">
        <v>27</v>
      </c>
      <c r="D155" s="8" t="s">
        <v>28</v>
      </c>
      <c r="E155" s="8" t="s">
        <v>390</v>
      </c>
      <c r="F155" s="8" t="s">
        <v>48</v>
      </c>
      <c r="G155" s="8" t="s">
        <v>49</v>
      </c>
      <c r="H155" s="8" t="s">
        <v>50</v>
      </c>
      <c r="I155" s="8" t="s">
        <v>49</v>
      </c>
      <c r="J155" s="9" t="n">
        <v>0.125</v>
      </c>
      <c r="K155" s="8" t="s">
        <v>33</v>
      </c>
    </row>
    <row r="156" customFormat="false" ht="15" hidden="false" customHeight="false" outlineLevel="0" collapsed="false">
      <c r="A156" s="8" t="n">
        <v>155</v>
      </c>
      <c r="B156" s="8" t="s">
        <v>391</v>
      </c>
      <c r="C156" s="8" t="s">
        <v>27</v>
      </c>
      <c r="D156" s="8" t="s">
        <v>28</v>
      </c>
      <c r="E156" s="8" t="s">
        <v>392</v>
      </c>
      <c r="F156" s="8" t="s">
        <v>42</v>
      </c>
      <c r="G156" s="8" t="s">
        <v>43</v>
      </c>
      <c r="H156" s="8" t="s">
        <v>44</v>
      </c>
      <c r="I156" s="8" t="s">
        <v>45</v>
      </c>
      <c r="J156" s="9" t="n">
        <v>0.277777777777778</v>
      </c>
      <c r="K156" s="8" t="s">
        <v>33</v>
      </c>
    </row>
    <row r="157" customFormat="false" ht="15" hidden="false" customHeight="false" outlineLevel="0" collapsed="false">
      <c r="A157" s="8" t="n">
        <v>156</v>
      </c>
      <c r="B157" s="8" t="s">
        <v>393</v>
      </c>
      <c r="C157" s="8" t="s">
        <v>27</v>
      </c>
      <c r="D157" s="8" t="s">
        <v>28</v>
      </c>
      <c r="E157" s="8" t="s">
        <v>394</v>
      </c>
      <c r="F157" s="8" t="s">
        <v>71</v>
      </c>
      <c r="G157" s="8" t="s">
        <v>72</v>
      </c>
      <c r="H157" s="8" t="s">
        <v>83</v>
      </c>
      <c r="I157" s="8" t="s">
        <v>84</v>
      </c>
      <c r="J157" s="9" t="n">
        <v>0.25</v>
      </c>
      <c r="K157" s="8" t="s">
        <v>33</v>
      </c>
    </row>
    <row r="158" customFormat="false" ht="15" hidden="false" customHeight="false" outlineLevel="0" collapsed="false">
      <c r="A158" s="8" t="n">
        <v>157</v>
      </c>
      <c r="B158" s="8" t="s">
        <v>395</v>
      </c>
      <c r="C158" s="8" t="s">
        <v>27</v>
      </c>
      <c r="D158" s="8" t="s">
        <v>28</v>
      </c>
      <c r="E158" s="8" t="s">
        <v>396</v>
      </c>
      <c r="F158" s="8" t="s">
        <v>48</v>
      </c>
      <c r="G158" s="8" t="s">
        <v>49</v>
      </c>
      <c r="H158" s="8" t="s">
        <v>50</v>
      </c>
      <c r="I158" s="8" t="s">
        <v>49</v>
      </c>
      <c r="J158" s="9" t="n">
        <v>0.25</v>
      </c>
      <c r="K158" s="8" t="s">
        <v>33</v>
      </c>
    </row>
    <row r="159" customFormat="false" ht="15" hidden="false" customHeight="false" outlineLevel="0" collapsed="false">
      <c r="A159" s="8" t="n">
        <v>158</v>
      </c>
      <c r="B159" s="8" t="s">
        <v>397</v>
      </c>
      <c r="C159" s="8" t="s">
        <v>27</v>
      </c>
      <c r="D159" s="8" t="s">
        <v>28</v>
      </c>
      <c r="E159" s="8" t="s">
        <v>398</v>
      </c>
      <c r="F159" s="8" t="s">
        <v>42</v>
      </c>
      <c r="G159" s="8" t="s">
        <v>43</v>
      </c>
      <c r="H159" s="8" t="s">
        <v>44</v>
      </c>
      <c r="I159" s="8" t="s">
        <v>45</v>
      </c>
      <c r="J159" s="9" t="n">
        <v>0.111111111111111</v>
      </c>
      <c r="K159" s="8" t="s">
        <v>33</v>
      </c>
    </row>
    <row r="160" customFormat="false" ht="15" hidden="false" customHeight="false" outlineLevel="0" collapsed="false">
      <c r="A160" s="8" t="n">
        <v>159</v>
      </c>
      <c r="B160" s="8" t="s">
        <v>399</v>
      </c>
      <c r="C160" s="8" t="s">
        <v>27</v>
      </c>
      <c r="D160" s="8" t="s">
        <v>28</v>
      </c>
      <c r="E160" s="8" t="s">
        <v>400</v>
      </c>
      <c r="F160" s="8" t="s">
        <v>42</v>
      </c>
      <c r="G160" s="8" t="s">
        <v>43</v>
      </c>
      <c r="H160" s="8" t="s">
        <v>44</v>
      </c>
      <c r="I160" s="8" t="s">
        <v>45</v>
      </c>
      <c r="J160" s="9" t="n">
        <v>0.166666666666667</v>
      </c>
      <c r="K160" s="8" t="s">
        <v>33</v>
      </c>
    </row>
    <row r="161" customFormat="false" ht="15" hidden="false" customHeight="false" outlineLevel="0" collapsed="false">
      <c r="A161" s="8" t="n">
        <v>160</v>
      </c>
      <c r="B161" s="8" t="s">
        <v>401</v>
      </c>
      <c r="C161" s="8" t="s">
        <v>27</v>
      </c>
      <c r="D161" s="8" t="s">
        <v>28</v>
      </c>
      <c r="E161" s="8" t="s">
        <v>402</v>
      </c>
      <c r="F161" s="8" t="s">
        <v>53</v>
      </c>
      <c r="G161" s="8" t="s">
        <v>54</v>
      </c>
      <c r="H161" s="8" t="s">
        <v>55</v>
      </c>
      <c r="I161" s="8" t="s">
        <v>56</v>
      </c>
      <c r="J161" s="9" t="n">
        <v>0.285714285714286</v>
      </c>
      <c r="K161" s="8" t="s">
        <v>33</v>
      </c>
    </row>
    <row r="162" customFormat="false" ht="15" hidden="false" customHeight="false" outlineLevel="0" collapsed="false">
      <c r="A162" s="8" t="n">
        <v>161</v>
      </c>
      <c r="B162" s="8" t="s">
        <v>403</v>
      </c>
      <c r="C162" s="8" t="s">
        <v>27</v>
      </c>
      <c r="D162" s="8" t="s">
        <v>28</v>
      </c>
      <c r="E162" s="8" t="s">
        <v>404</v>
      </c>
      <c r="F162" s="8" t="s">
        <v>53</v>
      </c>
      <c r="G162" s="8" t="s">
        <v>54</v>
      </c>
      <c r="H162" s="8" t="s">
        <v>55</v>
      </c>
      <c r="I162" s="8" t="s">
        <v>56</v>
      </c>
      <c r="J162" s="9" t="n">
        <v>0.142857142857143</v>
      </c>
      <c r="K162" s="8" t="s">
        <v>33</v>
      </c>
    </row>
    <row r="163" customFormat="false" ht="15" hidden="false" customHeight="false" outlineLevel="0" collapsed="false">
      <c r="A163" s="8" t="n">
        <v>162</v>
      </c>
      <c r="B163" s="8" t="s">
        <v>405</v>
      </c>
      <c r="C163" s="8" t="s">
        <v>27</v>
      </c>
      <c r="D163" s="8" t="s">
        <v>28</v>
      </c>
      <c r="E163" s="8" t="s">
        <v>406</v>
      </c>
      <c r="F163" s="8" t="s">
        <v>53</v>
      </c>
      <c r="G163" s="8" t="s">
        <v>54</v>
      </c>
      <c r="H163" s="8" t="s">
        <v>55</v>
      </c>
      <c r="I163" s="8" t="s">
        <v>56</v>
      </c>
      <c r="J163" s="9" t="n">
        <v>0.142857142857143</v>
      </c>
      <c r="K163" s="8" t="s">
        <v>33</v>
      </c>
    </row>
    <row r="164" customFormat="false" ht="15" hidden="false" customHeight="false" outlineLevel="0" collapsed="false">
      <c r="A164" s="8" t="n">
        <v>163</v>
      </c>
      <c r="B164" s="8" t="s">
        <v>407</v>
      </c>
      <c r="C164" s="8" t="s">
        <v>27</v>
      </c>
      <c r="D164" s="8" t="s">
        <v>28</v>
      </c>
      <c r="E164" s="8" t="s">
        <v>408</v>
      </c>
      <c r="F164" s="8" t="s">
        <v>53</v>
      </c>
      <c r="G164" s="8" t="s">
        <v>54</v>
      </c>
      <c r="H164" s="8" t="s">
        <v>55</v>
      </c>
      <c r="I164" s="8" t="s">
        <v>56</v>
      </c>
      <c r="J164" s="9" t="n">
        <v>0.142857142857143</v>
      </c>
      <c r="K164" s="8" t="s">
        <v>33</v>
      </c>
    </row>
    <row r="165" customFormat="false" ht="15" hidden="false" customHeight="false" outlineLevel="0" collapsed="false">
      <c r="A165" s="8" t="n">
        <v>164</v>
      </c>
      <c r="B165" s="8" t="s">
        <v>409</v>
      </c>
      <c r="C165" s="8" t="s">
        <v>27</v>
      </c>
      <c r="D165" s="8" t="s">
        <v>28</v>
      </c>
      <c r="E165" s="8" t="s">
        <v>410</v>
      </c>
      <c r="F165" s="8" t="s">
        <v>48</v>
      </c>
      <c r="G165" s="8" t="s">
        <v>49</v>
      </c>
      <c r="H165" s="8" t="s">
        <v>50</v>
      </c>
      <c r="I165" s="8" t="s">
        <v>49</v>
      </c>
      <c r="J165" s="9" t="n">
        <v>0.125</v>
      </c>
      <c r="K165" s="8" t="s">
        <v>33</v>
      </c>
    </row>
    <row r="166" customFormat="false" ht="15" hidden="false" customHeight="false" outlineLevel="0" collapsed="false">
      <c r="A166" s="8" t="n">
        <v>165</v>
      </c>
      <c r="B166" s="8" t="s">
        <v>411</v>
      </c>
      <c r="C166" s="8" t="s">
        <v>27</v>
      </c>
      <c r="D166" s="8" t="s">
        <v>28</v>
      </c>
      <c r="E166" s="8" t="s">
        <v>412</v>
      </c>
      <c r="F166" s="8" t="s">
        <v>48</v>
      </c>
      <c r="G166" s="8" t="s">
        <v>49</v>
      </c>
      <c r="H166" s="8" t="s">
        <v>50</v>
      </c>
      <c r="I166" s="8" t="s">
        <v>49</v>
      </c>
      <c r="J166" s="9" t="n">
        <v>0.125</v>
      </c>
      <c r="K166" s="8" t="s">
        <v>33</v>
      </c>
    </row>
    <row r="167" customFormat="false" ht="15" hidden="false" customHeight="false" outlineLevel="0" collapsed="false">
      <c r="A167" s="8" t="n">
        <v>166</v>
      </c>
      <c r="B167" s="8" t="s">
        <v>413</v>
      </c>
      <c r="C167" s="8" t="s">
        <v>27</v>
      </c>
      <c r="D167" s="8" t="s">
        <v>28</v>
      </c>
      <c r="E167" s="8" t="s">
        <v>414</v>
      </c>
      <c r="F167" s="8" t="s">
        <v>271</v>
      </c>
      <c r="G167" s="8" t="s">
        <v>272</v>
      </c>
      <c r="H167" s="8" t="s">
        <v>273</v>
      </c>
      <c r="I167" s="8" t="s">
        <v>274</v>
      </c>
      <c r="J167" s="9" t="n">
        <v>0.5</v>
      </c>
      <c r="K167" s="8" t="s">
        <v>33</v>
      </c>
    </row>
    <row r="168" customFormat="false" ht="15" hidden="false" customHeight="false" outlineLevel="0" collapsed="false">
      <c r="A168" s="8" t="n">
        <v>167</v>
      </c>
      <c r="B168" s="8" t="s">
        <v>415</v>
      </c>
      <c r="C168" s="8" t="s">
        <v>27</v>
      </c>
      <c r="D168" s="8" t="s">
        <v>28</v>
      </c>
      <c r="E168" s="8" t="s">
        <v>416</v>
      </c>
      <c r="F168" s="8" t="s">
        <v>42</v>
      </c>
      <c r="G168" s="8" t="s">
        <v>43</v>
      </c>
      <c r="H168" s="8" t="s">
        <v>44</v>
      </c>
      <c r="I168" s="8" t="s">
        <v>45</v>
      </c>
      <c r="J168" s="9" t="n">
        <v>0.388888888888889</v>
      </c>
      <c r="K168" s="8" t="s">
        <v>33</v>
      </c>
    </row>
    <row r="169" customFormat="false" ht="15" hidden="false" customHeight="false" outlineLevel="0" collapsed="false">
      <c r="A169" s="8" t="n">
        <v>168</v>
      </c>
      <c r="B169" s="8" t="s">
        <v>417</v>
      </c>
      <c r="C169" s="8" t="s">
        <v>27</v>
      </c>
      <c r="D169" s="8" t="s">
        <v>28</v>
      </c>
      <c r="E169" s="8" t="s">
        <v>418</v>
      </c>
      <c r="F169" s="8" t="s">
        <v>48</v>
      </c>
      <c r="G169" s="8" t="s">
        <v>49</v>
      </c>
      <c r="H169" s="8" t="s">
        <v>50</v>
      </c>
      <c r="I169" s="8" t="s">
        <v>49</v>
      </c>
      <c r="J169" s="9" t="n">
        <v>0.125</v>
      </c>
      <c r="K169" s="8" t="s">
        <v>33</v>
      </c>
    </row>
    <row r="170" customFormat="false" ht="15" hidden="false" customHeight="false" outlineLevel="0" collapsed="false">
      <c r="A170" s="8" t="n">
        <v>169</v>
      </c>
      <c r="B170" s="8" t="s">
        <v>419</v>
      </c>
      <c r="C170" s="8" t="s">
        <v>27</v>
      </c>
      <c r="D170" s="8" t="s">
        <v>28</v>
      </c>
      <c r="E170" s="8" t="s">
        <v>420</v>
      </c>
      <c r="F170" s="8" t="s">
        <v>36</v>
      </c>
      <c r="G170" s="8" t="s">
        <v>37</v>
      </c>
      <c r="H170" s="8" t="s">
        <v>421</v>
      </c>
      <c r="I170" s="8" t="s">
        <v>422</v>
      </c>
      <c r="J170" s="9" t="n">
        <v>0.166666666666667</v>
      </c>
      <c r="K170" s="8" t="s">
        <v>33</v>
      </c>
    </row>
    <row r="171" customFormat="false" ht="15" hidden="false" customHeight="false" outlineLevel="0" collapsed="false">
      <c r="A171" s="8" t="n">
        <v>170</v>
      </c>
      <c r="B171" s="8" t="s">
        <v>423</v>
      </c>
      <c r="C171" s="8" t="s">
        <v>27</v>
      </c>
      <c r="D171" s="8" t="s">
        <v>28</v>
      </c>
      <c r="E171" s="8" t="s">
        <v>424</v>
      </c>
      <c r="F171" s="8" t="s">
        <v>48</v>
      </c>
      <c r="G171" s="8" t="s">
        <v>49</v>
      </c>
      <c r="H171" s="8" t="s">
        <v>50</v>
      </c>
      <c r="I171" s="8" t="s">
        <v>49</v>
      </c>
      <c r="J171" s="9" t="n">
        <v>0.1875</v>
      </c>
      <c r="K171" s="8" t="s">
        <v>33</v>
      </c>
    </row>
    <row r="172" customFormat="false" ht="15" hidden="false" customHeight="false" outlineLevel="0" collapsed="false">
      <c r="A172" s="8" t="n">
        <v>171</v>
      </c>
      <c r="B172" s="8" t="s">
        <v>425</v>
      </c>
      <c r="C172" s="8" t="s">
        <v>27</v>
      </c>
      <c r="D172" s="8" t="s">
        <v>28</v>
      </c>
      <c r="E172" s="8" t="s">
        <v>426</v>
      </c>
      <c r="F172" s="8" t="s">
        <v>48</v>
      </c>
      <c r="G172" s="8" t="s">
        <v>49</v>
      </c>
      <c r="H172" s="8" t="s">
        <v>50</v>
      </c>
      <c r="I172" s="8" t="s">
        <v>49</v>
      </c>
      <c r="J172" s="9" t="n">
        <v>0.25</v>
      </c>
      <c r="K172" s="8" t="s">
        <v>33</v>
      </c>
    </row>
    <row r="173" customFormat="false" ht="15" hidden="false" customHeight="false" outlineLevel="0" collapsed="false">
      <c r="A173" s="8" t="n">
        <v>172</v>
      </c>
      <c r="B173" s="8" t="s">
        <v>427</v>
      </c>
      <c r="C173" s="8" t="s">
        <v>27</v>
      </c>
      <c r="D173" s="8" t="s">
        <v>28</v>
      </c>
      <c r="E173" s="8" t="s">
        <v>428</v>
      </c>
      <c r="F173" s="8" t="s">
        <v>48</v>
      </c>
      <c r="G173" s="8" t="s">
        <v>49</v>
      </c>
      <c r="H173" s="8" t="s">
        <v>50</v>
      </c>
      <c r="I173" s="8" t="s">
        <v>49</v>
      </c>
      <c r="J173" s="9" t="n">
        <v>0.25</v>
      </c>
      <c r="K173" s="8" t="s">
        <v>33</v>
      </c>
    </row>
    <row r="174" customFormat="false" ht="15" hidden="false" customHeight="false" outlineLevel="0" collapsed="false">
      <c r="A174" s="8" t="n">
        <v>173</v>
      </c>
      <c r="B174" s="8" t="s">
        <v>429</v>
      </c>
      <c r="C174" s="8" t="s">
        <v>27</v>
      </c>
      <c r="D174" s="8" t="s">
        <v>28</v>
      </c>
      <c r="E174" s="8" t="s">
        <v>430</v>
      </c>
      <c r="F174" s="8" t="s">
        <v>53</v>
      </c>
      <c r="G174" s="8" t="s">
        <v>54</v>
      </c>
      <c r="H174" s="8" t="s">
        <v>55</v>
      </c>
      <c r="I174" s="8" t="s">
        <v>56</v>
      </c>
      <c r="J174" s="9" t="n">
        <v>0.142857142857143</v>
      </c>
      <c r="K174" s="8" t="s">
        <v>33</v>
      </c>
    </row>
    <row r="175" customFormat="false" ht="15" hidden="false" customHeight="false" outlineLevel="0" collapsed="false">
      <c r="A175" s="8" t="n">
        <v>174</v>
      </c>
      <c r="B175" s="8" t="s">
        <v>431</v>
      </c>
      <c r="C175" s="8" t="s">
        <v>27</v>
      </c>
      <c r="D175" s="8" t="s">
        <v>28</v>
      </c>
      <c r="E175" s="8" t="s">
        <v>432</v>
      </c>
      <c r="F175" s="8" t="s">
        <v>53</v>
      </c>
      <c r="G175" s="8" t="s">
        <v>54</v>
      </c>
      <c r="H175" s="8" t="s">
        <v>55</v>
      </c>
      <c r="I175" s="8" t="s">
        <v>56</v>
      </c>
      <c r="J175" s="9" t="n">
        <v>0.142857142857143</v>
      </c>
      <c r="K175" s="8" t="s">
        <v>33</v>
      </c>
    </row>
    <row r="176" customFormat="false" ht="15" hidden="false" customHeight="false" outlineLevel="0" collapsed="false">
      <c r="A176" s="8" t="n">
        <v>175</v>
      </c>
      <c r="B176" s="8" t="s">
        <v>433</v>
      </c>
      <c r="C176" s="8" t="s">
        <v>27</v>
      </c>
      <c r="D176" s="8" t="s">
        <v>28</v>
      </c>
      <c r="E176" s="8" t="s">
        <v>434</v>
      </c>
      <c r="F176" s="8" t="s">
        <v>48</v>
      </c>
      <c r="G176" s="8" t="s">
        <v>49</v>
      </c>
      <c r="H176" s="8" t="s">
        <v>50</v>
      </c>
      <c r="I176" s="8" t="s">
        <v>49</v>
      </c>
      <c r="J176" s="9" t="n">
        <v>0.1875</v>
      </c>
      <c r="K176" s="8" t="s">
        <v>33</v>
      </c>
    </row>
    <row r="177" customFormat="false" ht="15" hidden="false" customHeight="false" outlineLevel="0" collapsed="false">
      <c r="A177" s="8" t="n">
        <v>176</v>
      </c>
      <c r="B177" s="8" t="s">
        <v>435</v>
      </c>
      <c r="C177" s="8" t="s">
        <v>27</v>
      </c>
      <c r="D177" s="8" t="s">
        <v>28</v>
      </c>
      <c r="E177" s="8" t="s">
        <v>436</v>
      </c>
      <c r="F177" s="8" t="s">
        <v>48</v>
      </c>
      <c r="G177" s="8" t="s">
        <v>49</v>
      </c>
      <c r="H177" s="8" t="s">
        <v>50</v>
      </c>
      <c r="I177" s="8" t="s">
        <v>49</v>
      </c>
      <c r="J177" s="9" t="n">
        <v>0.25</v>
      </c>
      <c r="K177" s="8" t="s">
        <v>33</v>
      </c>
    </row>
    <row r="178" customFormat="false" ht="15" hidden="false" customHeight="false" outlineLevel="0" collapsed="false">
      <c r="A178" s="8" t="n">
        <v>177</v>
      </c>
      <c r="B178" s="8" t="s">
        <v>437</v>
      </c>
      <c r="C178" s="8" t="s">
        <v>27</v>
      </c>
      <c r="D178" s="8" t="s">
        <v>28</v>
      </c>
      <c r="E178" s="8" t="s">
        <v>438</v>
      </c>
      <c r="F178" s="8" t="s">
        <v>48</v>
      </c>
      <c r="G178" s="8" t="s">
        <v>49</v>
      </c>
      <c r="H178" s="8" t="s">
        <v>50</v>
      </c>
      <c r="I178" s="8" t="s">
        <v>49</v>
      </c>
      <c r="J178" s="9" t="n">
        <v>0.25</v>
      </c>
      <c r="K178" s="8" t="s">
        <v>33</v>
      </c>
    </row>
    <row r="179" customFormat="false" ht="15" hidden="false" customHeight="false" outlineLevel="0" collapsed="false">
      <c r="A179" s="8" t="n">
        <v>178</v>
      </c>
      <c r="B179" s="8" t="s">
        <v>439</v>
      </c>
      <c r="C179" s="8" t="s">
        <v>27</v>
      </c>
      <c r="D179" s="8" t="s">
        <v>28</v>
      </c>
      <c r="E179" s="8" t="s">
        <v>440</v>
      </c>
      <c r="F179" s="8" t="s">
        <v>48</v>
      </c>
      <c r="G179" s="8" t="s">
        <v>49</v>
      </c>
      <c r="H179" s="8" t="s">
        <v>50</v>
      </c>
      <c r="I179" s="8" t="s">
        <v>49</v>
      </c>
      <c r="J179" s="9" t="n">
        <v>0.25</v>
      </c>
      <c r="K179" s="8" t="s">
        <v>33</v>
      </c>
    </row>
    <row r="180" customFormat="false" ht="15" hidden="false" customHeight="false" outlineLevel="0" collapsed="false">
      <c r="A180" s="8" t="n">
        <v>179</v>
      </c>
      <c r="B180" s="8" t="s">
        <v>441</v>
      </c>
      <c r="C180" s="8" t="s">
        <v>27</v>
      </c>
      <c r="D180" s="8" t="s">
        <v>28</v>
      </c>
      <c r="E180" s="8" t="s">
        <v>442</v>
      </c>
      <c r="F180" s="8" t="s">
        <v>48</v>
      </c>
      <c r="G180" s="8" t="s">
        <v>49</v>
      </c>
      <c r="H180" s="8" t="s">
        <v>50</v>
      </c>
      <c r="I180" s="8" t="s">
        <v>49</v>
      </c>
      <c r="J180" s="9" t="n">
        <v>0.25</v>
      </c>
      <c r="K180" s="8" t="s">
        <v>33</v>
      </c>
    </row>
    <row r="181" customFormat="false" ht="15" hidden="false" customHeight="false" outlineLevel="0" collapsed="false">
      <c r="A181" s="8" t="n">
        <v>180</v>
      </c>
      <c r="B181" s="8" t="s">
        <v>443</v>
      </c>
      <c r="C181" s="8" t="s">
        <v>27</v>
      </c>
      <c r="D181" s="8" t="s">
        <v>28</v>
      </c>
      <c r="E181" s="8" t="s">
        <v>444</v>
      </c>
      <c r="F181" s="8" t="s">
        <v>445</v>
      </c>
      <c r="G181" s="8" t="s">
        <v>446</v>
      </c>
      <c r="H181" s="8" t="s">
        <v>447</v>
      </c>
      <c r="I181" s="8" t="s">
        <v>448</v>
      </c>
      <c r="J181" s="9" t="n">
        <v>0.25</v>
      </c>
      <c r="K181" s="8" t="s">
        <v>33</v>
      </c>
    </row>
    <row r="182" customFormat="false" ht="15" hidden="false" customHeight="false" outlineLevel="0" collapsed="false">
      <c r="A182" s="8" t="n">
        <v>181</v>
      </c>
      <c r="B182" s="8" t="s">
        <v>449</v>
      </c>
      <c r="C182" s="8" t="s">
        <v>27</v>
      </c>
      <c r="D182" s="8" t="s">
        <v>28</v>
      </c>
      <c r="E182" s="8" t="s">
        <v>450</v>
      </c>
      <c r="F182" s="8" t="s">
        <v>53</v>
      </c>
      <c r="G182" s="8" t="s">
        <v>54</v>
      </c>
      <c r="H182" s="8" t="s">
        <v>55</v>
      </c>
      <c r="I182" s="8" t="s">
        <v>56</v>
      </c>
      <c r="J182" s="9" t="n">
        <v>0.142857142857143</v>
      </c>
      <c r="K182" s="8" t="s">
        <v>33</v>
      </c>
    </row>
    <row r="183" customFormat="false" ht="15" hidden="false" customHeight="false" outlineLevel="0" collapsed="false">
      <c r="A183" s="8" t="n">
        <v>182</v>
      </c>
      <c r="B183" s="8" t="s">
        <v>451</v>
      </c>
      <c r="C183" s="8" t="s">
        <v>27</v>
      </c>
      <c r="D183" s="8" t="s">
        <v>28</v>
      </c>
      <c r="E183" s="8" t="s">
        <v>452</v>
      </c>
      <c r="F183" s="8" t="s">
        <v>42</v>
      </c>
      <c r="G183" s="8" t="s">
        <v>43</v>
      </c>
      <c r="H183" s="8" t="s">
        <v>44</v>
      </c>
      <c r="I183" s="8" t="s">
        <v>45</v>
      </c>
      <c r="J183" s="9" t="n">
        <v>0.166666666666667</v>
      </c>
      <c r="K183" s="8" t="s">
        <v>33</v>
      </c>
    </row>
    <row r="184" customFormat="false" ht="15" hidden="false" customHeight="false" outlineLevel="0" collapsed="false">
      <c r="A184" s="8" t="n">
        <v>183</v>
      </c>
      <c r="B184" s="8" t="s">
        <v>453</v>
      </c>
      <c r="C184" s="8" t="s">
        <v>27</v>
      </c>
      <c r="D184" s="8" t="s">
        <v>28</v>
      </c>
      <c r="E184" s="8" t="s">
        <v>454</v>
      </c>
      <c r="F184" s="8" t="s">
        <v>53</v>
      </c>
      <c r="G184" s="8" t="s">
        <v>54</v>
      </c>
      <c r="H184" s="8" t="s">
        <v>55</v>
      </c>
      <c r="I184" s="8" t="s">
        <v>56</v>
      </c>
      <c r="J184" s="9" t="n">
        <v>0.285714285714286</v>
      </c>
      <c r="K184" s="8" t="s">
        <v>33</v>
      </c>
    </row>
    <row r="185" customFormat="false" ht="15" hidden="false" customHeight="false" outlineLevel="0" collapsed="false">
      <c r="A185" s="8" t="n">
        <v>184</v>
      </c>
      <c r="B185" s="8" t="s">
        <v>455</v>
      </c>
      <c r="C185" s="8" t="s">
        <v>27</v>
      </c>
      <c r="D185" s="8" t="s">
        <v>28</v>
      </c>
      <c r="E185" s="8" t="s">
        <v>456</v>
      </c>
      <c r="F185" s="8" t="s">
        <v>53</v>
      </c>
      <c r="G185" s="8" t="s">
        <v>54</v>
      </c>
      <c r="H185" s="8" t="s">
        <v>55</v>
      </c>
      <c r="I185" s="8" t="s">
        <v>56</v>
      </c>
      <c r="J185" s="9" t="n">
        <v>0.142857142857143</v>
      </c>
      <c r="K185" s="8" t="s">
        <v>33</v>
      </c>
    </row>
    <row r="186" customFormat="false" ht="15" hidden="false" customHeight="false" outlineLevel="0" collapsed="false">
      <c r="A186" s="8" t="n">
        <v>185</v>
      </c>
      <c r="B186" s="8" t="s">
        <v>457</v>
      </c>
      <c r="C186" s="8" t="s">
        <v>27</v>
      </c>
      <c r="D186" s="8" t="s">
        <v>28</v>
      </c>
      <c r="E186" s="8" t="s">
        <v>458</v>
      </c>
      <c r="F186" s="8" t="s">
        <v>48</v>
      </c>
      <c r="G186" s="8" t="s">
        <v>49</v>
      </c>
      <c r="H186" s="8" t="s">
        <v>50</v>
      </c>
      <c r="I186" s="8" t="s">
        <v>49</v>
      </c>
      <c r="J186" s="9" t="n">
        <v>0.25</v>
      </c>
      <c r="K186" s="8" t="s">
        <v>33</v>
      </c>
    </row>
    <row r="187" customFormat="false" ht="15" hidden="false" customHeight="false" outlineLevel="0" collapsed="false">
      <c r="A187" s="8" t="n">
        <v>186</v>
      </c>
      <c r="B187" s="8" t="s">
        <v>459</v>
      </c>
      <c r="C187" s="8" t="s">
        <v>27</v>
      </c>
      <c r="D187" s="8" t="s">
        <v>28</v>
      </c>
      <c r="E187" s="8" t="s">
        <v>460</v>
      </c>
      <c r="F187" s="8" t="s">
        <v>48</v>
      </c>
      <c r="G187" s="8" t="s">
        <v>49</v>
      </c>
      <c r="H187" s="8" t="s">
        <v>50</v>
      </c>
      <c r="I187" s="8" t="s">
        <v>49</v>
      </c>
      <c r="J187" s="9" t="n">
        <v>0.25</v>
      </c>
      <c r="K187" s="8" t="s">
        <v>33</v>
      </c>
    </row>
    <row r="188" customFormat="false" ht="15" hidden="false" customHeight="false" outlineLevel="0" collapsed="false">
      <c r="A188" s="8" t="n">
        <v>187</v>
      </c>
      <c r="B188" s="8" t="s">
        <v>461</v>
      </c>
      <c r="C188" s="8" t="s">
        <v>27</v>
      </c>
      <c r="D188" s="8" t="s">
        <v>28</v>
      </c>
      <c r="E188" s="8" t="s">
        <v>462</v>
      </c>
      <c r="F188" s="8" t="s">
        <v>48</v>
      </c>
      <c r="G188" s="8" t="s">
        <v>49</v>
      </c>
      <c r="H188" s="8" t="s">
        <v>50</v>
      </c>
      <c r="I188" s="8" t="s">
        <v>49</v>
      </c>
      <c r="J188" s="9" t="n">
        <v>0.25</v>
      </c>
      <c r="K188" s="8" t="s">
        <v>33</v>
      </c>
    </row>
    <row r="189" customFormat="false" ht="15" hidden="false" customHeight="false" outlineLevel="0" collapsed="false">
      <c r="A189" s="8" t="n">
        <v>188</v>
      </c>
      <c r="B189" s="8" t="s">
        <v>463</v>
      </c>
      <c r="C189" s="8" t="s">
        <v>27</v>
      </c>
      <c r="D189" s="8" t="s">
        <v>28</v>
      </c>
      <c r="E189" s="8" t="s">
        <v>464</v>
      </c>
      <c r="F189" s="8" t="s">
        <v>53</v>
      </c>
      <c r="G189" s="8" t="s">
        <v>54</v>
      </c>
      <c r="H189" s="8" t="s">
        <v>55</v>
      </c>
      <c r="I189" s="8" t="s">
        <v>56</v>
      </c>
      <c r="J189" s="9" t="n">
        <v>0.428571428571429</v>
      </c>
      <c r="K189" s="8" t="s">
        <v>33</v>
      </c>
    </row>
    <row r="190" customFormat="false" ht="15" hidden="false" customHeight="false" outlineLevel="0" collapsed="false">
      <c r="A190" s="8" t="n">
        <v>189</v>
      </c>
      <c r="B190" s="8" t="s">
        <v>465</v>
      </c>
      <c r="C190" s="8" t="s">
        <v>27</v>
      </c>
      <c r="D190" s="8" t="s">
        <v>28</v>
      </c>
      <c r="E190" s="8" t="s">
        <v>466</v>
      </c>
      <c r="F190" s="8" t="s">
        <v>53</v>
      </c>
      <c r="G190" s="8" t="s">
        <v>54</v>
      </c>
      <c r="H190" s="8" t="s">
        <v>55</v>
      </c>
      <c r="I190" s="8" t="s">
        <v>56</v>
      </c>
      <c r="J190" s="9" t="n">
        <v>0.142857142857143</v>
      </c>
      <c r="K190" s="8" t="s">
        <v>33</v>
      </c>
    </row>
    <row r="191" customFormat="false" ht="15" hidden="false" customHeight="false" outlineLevel="0" collapsed="false">
      <c r="A191" s="8" t="n">
        <v>190</v>
      </c>
      <c r="B191" s="8" t="s">
        <v>467</v>
      </c>
      <c r="C191" s="8" t="s">
        <v>27</v>
      </c>
      <c r="D191" s="8" t="s">
        <v>28</v>
      </c>
      <c r="E191" s="8" t="s">
        <v>468</v>
      </c>
      <c r="F191" s="8" t="s">
        <v>71</v>
      </c>
      <c r="G191" s="8" t="s">
        <v>72</v>
      </c>
      <c r="H191" s="8" t="s">
        <v>83</v>
      </c>
      <c r="I191" s="8" t="s">
        <v>84</v>
      </c>
      <c r="J191" s="9" t="n">
        <v>0.5</v>
      </c>
      <c r="K191" s="8" t="s">
        <v>33</v>
      </c>
    </row>
    <row r="192" customFormat="false" ht="15" hidden="false" customHeight="false" outlineLevel="0" collapsed="false">
      <c r="A192" s="8" t="n">
        <v>191</v>
      </c>
      <c r="B192" s="8" t="s">
        <v>469</v>
      </c>
      <c r="C192" s="8" t="s">
        <v>27</v>
      </c>
      <c r="D192" s="8" t="s">
        <v>28</v>
      </c>
      <c r="E192" s="8" t="s">
        <v>470</v>
      </c>
      <c r="F192" s="8" t="s">
        <v>36</v>
      </c>
      <c r="G192" s="8" t="s">
        <v>37</v>
      </c>
      <c r="H192" s="8" t="s">
        <v>38</v>
      </c>
      <c r="I192" s="8" t="s">
        <v>39</v>
      </c>
      <c r="J192" s="9" t="n">
        <v>0.25</v>
      </c>
      <c r="K192" s="8" t="s">
        <v>33</v>
      </c>
    </row>
    <row r="193" customFormat="false" ht="15" hidden="false" customHeight="false" outlineLevel="0" collapsed="false">
      <c r="A193" s="8" t="n">
        <v>192</v>
      </c>
      <c r="B193" s="8" t="s">
        <v>471</v>
      </c>
      <c r="C193" s="8" t="s">
        <v>27</v>
      </c>
      <c r="D193" s="8" t="s">
        <v>28</v>
      </c>
      <c r="E193" s="8" t="s">
        <v>472</v>
      </c>
      <c r="F193" s="8" t="s">
        <v>473</v>
      </c>
      <c r="G193" s="8" t="s">
        <v>474</v>
      </c>
      <c r="H193" s="8" t="s">
        <v>475</v>
      </c>
      <c r="I193" s="8" t="s">
        <v>476</v>
      </c>
      <c r="J193" s="9" t="n">
        <v>0.285714285714286</v>
      </c>
      <c r="K193" s="8" t="s">
        <v>33</v>
      </c>
    </row>
    <row r="194" customFormat="false" ht="15" hidden="false" customHeight="false" outlineLevel="0" collapsed="false">
      <c r="A194" s="8" t="n">
        <v>193</v>
      </c>
      <c r="B194" s="8" t="s">
        <v>477</v>
      </c>
      <c r="C194" s="8" t="s">
        <v>27</v>
      </c>
      <c r="D194" s="8" t="s">
        <v>28</v>
      </c>
      <c r="E194" s="8" t="s">
        <v>478</v>
      </c>
      <c r="F194" s="8" t="s">
        <v>53</v>
      </c>
      <c r="G194" s="8" t="s">
        <v>54</v>
      </c>
      <c r="H194" s="8" t="s">
        <v>55</v>
      </c>
      <c r="I194" s="8" t="s">
        <v>56</v>
      </c>
      <c r="J194" s="9" t="n">
        <v>0.285714285714286</v>
      </c>
      <c r="K194" s="8" t="s">
        <v>33</v>
      </c>
    </row>
    <row r="195" customFormat="false" ht="15" hidden="false" customHeight="false" outlineLevel="0" collapsed="false">
      <c r="A195" s="8" t="n">
        <v>194</v>
      </c>
      <c r="B195" s="8" t="s">
        <v>479</v>
      </c>
      <c r="C195" s="8" t="s">
        <v>27</v>
      </c>
      <c r="D195" s="8" t="s">
        <v>28</v>
      </c>
      <c r="E195" s="8" t="s">
        <v>480</v>
      </c>
      <c r="F195" s="8" t="s">
        <v>48</v>
      </c>
      <c r="G195" s="8" t="s">
        <v>49</v>
      </c>
      <c r="H195" s="8" t="s">
        <v>50</v>
      </c>
      <c r="I195" s="8" t="s">
        <v>49</v>
      </c>
      <c r="J195" s="9" t="n">
        <v>0.125</v>
      </c>
      <c r="K195" s="8" t="s">
        <v>33</v>
      </c>
    </row>
    <row r="196" customFormat="false" ht="15" hidden="false" customHeight="false" outlineLevel="0" collapsed="false">
      <c r="A196" s="8" t="n">
        <v>195</v>
      </c>
      <c r="B196" s="8" t="s">
        <v>481</v>
      </c>
      <c r="C196" s="8" t="s">
        <v>27</v>
      </c>
      <c r="D196" s="8" t="s">
        <v>28</v>
      </c>
      <c r="E196" s="8" t="s">
        <v>482</v>
      </c>
      <c r="F196" s="8" t="s">
        <v>48</v>
      </c>
      <c r="G196" s="8" t="s">
        <v>49</v>
      </c>
      <c r="H196" s="8" t="s">
        <v>50</v>
      </c>
      <c r="I196" s="8" t="s">
        <v>49</v>
      </c>
      <c r="J196" s="9" t="n">
        <v>0.0625</v>
      </c>
      <c r="K196" s="8" t="s">
        <v>33</v>
      </c>
    </row>
    <row r="197" customFormat="false" ht="15" hidden="false" customHeight="false" outlineLevel="0" collapsed="false">
      <c r="A197" s="8" t="n">
        <v>196</v>
      </c>
      <c r="B197" s="8" t="s">
        <v>483</v>
      </c>
      <c r="C197" s="8" t="s">
        <v>27</v>
      </c>
      <c r="D197" s="8" t="s">
        <v>28</v>
      </c>
      <c r="E197" s="8" t="s">
        <v>484</v>
      </c>
      <c r="F197" s="8" t="s">
        <v>42</v>
      </c>
      <c r="G197" s="8" t="s">
        <v>43</v>
      </c>
      <c r="H197" s="8" t="s">
        <v>44</v>
      </c>
      <c r="I197" s="8" t="s">
        <v>45</v>
      </c>
      <c r="J197" s="9" t="n">
        <v>0.333333333333333</v>
      </c>
      <c r="K197" s="8" t="s">
        <v>33</v>
      </c>
    </row>
    <row r="198" customFormat="false" ht="15" hidden="false" customHeight="false" outlineLevel="0" collapsed="false">
      <c r="A198" s="8" t="n">
        <v>197</v>
      </c>
      <c r="B198" s="8" t="s">
        <v>485</v>
      </c>
      <c r="C198" s="8" t="s">
        <v>27</v>
      </c>
      <c r="D198" s="8" t="s">
        <v>28</v>
      </c>
      <c r="E198" s="8" t="s">
        <v>486</v>
      </c>
      <c r="F198" s="8" t="s">
        <v>53</v>
      </c>
      <c r="G198" s="8" t="s">
        <v>54</v>
      </c>
      <c r="H198" s="8" t="s">
        <v>55</v>
      </c>
      <c r="I198" s="8" t="s">
        <v>56</v>
      </c>
      <c r="J198" s="9" t="n">
        <v>0.285714285714286</v>
      </c>
      <c r="K198" s="8" t="s">
        <v>33</v>
      </c>
    </row>
    <row r="199" customFormat="false" ht="15" hidden="false" customHeight="false" outlineLevel="0" collapsed="false">
      <c r="A199" s="8" t="n">
        <v>198</v>
      </c>
      <c r="B199" s="8" t="s">
        <v>487</v>
      </c>
      <c r="C199" s="8" t="s">
        <v>27</v>
      </c>
      <c r="D199" s="8" t="s">
        <v>28</v>
      </c>
      <c r="E199" s="8" t="s">
        <v>488</v>
      </c>
      <c r="F199" s="8" t="s">
        <v>71</v>
      </c>
      <c r="G199" s="8" t="s">
        <v>72</v>
      </c>
      <c r="H199" s="8" t="s">
        <v>83</v>
      </c>
      <c r="I199" s="8" t="s">
        <v>84</v>
      </c>
      <c r="J199" s="9" t="n">
        <v>0.25</v>
      </c>
      <c r="K199" s="8" t="s">
        <v>33</v>
      </c>
    </row>
    <row r="200" customFormat="false" ht="15" hidden="false" customHeight="false" outlineLevel="0" collapsed="false">
      <c r="A200" s="8" t="n">
        <v>199</v>
      </c>
      <c r="B200" s="8" t="s">
        <v>489</v>
      </c>
      <c r="C200" s="8" t="s">
        <v>27</v>
      </c>
      <c r="D200" s="8" t="s">
        <v>28</v>
      </c>
      <c r="E200" s="8" t="s">
        <v>490</v>
      </c>
      <c r="F200" s="8" t="s">
        <v>48</v>
      </c>
      <c r="G200" s="8" t="s">
        <v>49</v>
      </c>
      <c r="H200" s="8" t="s">
        <v>50</v>
      </c>
      <c r="I200" s="8" t="s">
        <v>49</v>
      </c>
      <c r="J200" s="9" t="n">
        <v>0.1875</v>
      </c>
      <c r="K200" s="8" t="s">
        <v>33</v>
      </c>
    </row>
    <row r="201" customFormat="false" ht="15" hidden="false" customHeight="false" outlineLevel="0" collapsed="false">
      <c r="A201" s="8" t="n">
        <v>200</v>
      </c>
      <c r="B201" s="8" t="s">
        <v>491</v>
      </c>
      <c r="C201" s="8" t="s">
        <v>27</v>
      </c>
      <c r="D201" s="8" t="s">
        <v>28</v>
      </c>
      <c r="E201" s="8" t="s">
        <v>492</v>
      </c>
      <c r="F201" s="8" t="s">
        <v>71</v>
      </c>
      <c r="G201" s="8" t="s">
        <v>72</v>
      </c>
      <c r="H201" s="8" t="s">
        <v>493</v>
      </c>
      <c r="I201" s="8" t="s">
        <v>494</v>
      </c>
      <c r="J201" s="9" t="n">
        <v>1</v>
      </c>
      <c r="K201" s="8" t="s">
        <v>33</v>
      </c>
    </row>
    <row r="202" customFormat="false" ht="15" hidden="false" customHeight="false" outlineLevel="0" collapsed="false">
      <c r="A202" s="8" t="n">
        <v>201</v>
      </c>
      <c r="B202" s="8" t="s">
        <v>495</v>
      </c>
      <c r="C202" s="8" t="s">
        <v>27</v>
      </c>
      <c r="D202" s="8" t="s">
        <v>28</v>
      </c>
      <c r="E202" s="8" t="s">
        <v>496</v>
      </c>
      <c r="F202" s="8" t="s">
        <v>53</v>
      </c>
      <c r="G202" s="8" t="s">
        <v>54</v>
      </c>
      <c r="H202" s="8" t="s">
        <v>55</v>
      </c>
      <c r="I202" s="8" t="s">
        <v>56</v>
      </c>
      <c r="J202" s="9" t="n">
        <v>0.285714285714286</v>
      </c>
      <c r="K202" s="8" t="s">
        <v>33</v>
      </c>
    </row>
    <row r="203" customFormat="false" ht="15" hidden="false" customHeight="false" outlineLevel="0" collapsed="false">
      <c r="A203" s="8" t="n">
        <v>202</v>
      </c>
      <c r="B203" s="8" t="s">
        <v>497</v>
      </c>
      <c r="C203" s="8" t="s">
        <v>27</v>
      </c>
      <c r="D203" s="8" t="s">
        <v>28</v>
      </c>
      <c r="E203" s="8" t="s">
        <v>498</v>
      </c>
      <c r="F203" s="8" t="s">
        <v>53</v>
      </c>
      <c r="G203" s="8" t="s">
        <v>54</v>
      </c>
      <c r="H203" s="8" t="s">
        <v>55</v>
      </c>
      <c r="I203" s="8" t="s">
        <v>56</v>
      </c>
      <c r="J203" s="9" t="n">
        <v>0.285714285714286</v>
      </c>
      <c r="K203" s="8" t="s">
        <v>33</v>
      </c>
    </row>
    <row r="204" customFormat="false" ht="15" hidden="false" customHeight="false" outlineLevel="0" collapsed="false">
      <c r="A204" s="8" t="n">
        <v>203</v>
      </c>
      <c r="B204" s="8" t="s">
        <v>499</v>
      </c>
      <c r="C204" s="8" t="s">
        <v>27</v>
      </c>
      <c r="D204" s="8" t="s">
        <v>28</v>
      </c>
      <c r="E204" s="8" t="s">
        <v>500</v>
      </c>
      <c r="F204" s="8" t="s">
        <v>53</v>
      </c>
      <c r="G204" s="8" t="s">
        <v>54</v>
      </c>
      <c r="H204" s="8" t="s">
        <v>55</v>
      </c>
      <c r="I204" s="8" t="s">
        <v>56</v>
      </c>
      <c r="J204" s="9" t="n">
        <v>0.285714285714286</v>
      </c>
      <c r="K204" s="8" t="s">
        <v>33</v>
      </c>
    </row>
    <row r="205" customFormat="false" ht="15" hidden="false" customHeight="false" outlineLevel="0" collapsed="false">
      <c r="A205" s="8" t="n">
        <v>204</v>
      </c>
      <c r="B205" s="8" t="s">
        <v>501</v>
      </c>
      <c r="C205" s="8" t="s">
        <v>27</v>
      </c>
      <c r="D205" s="8" t="s">
        <v>28</v>
      </c>
      <c r="E205" s="8" t="s">
        <v>502</v>
      </c>
      <c r="F205" s="8" t="s">
        <v>53</v>
      </c>
      <c r="G205" s="8" t="s">
        <v>54</v>
      </c>
      <c r="H205" s="8" t="s">
        <v>55</v>
      </c>
      <c r="I205" s="8" t="s">
        <v>56</v>
      </c>
      <c r="J205" s="9" t="n">
        <v>0.142857142857143</v>
      </c>
      <c r="K205" s="8" t="s">
        <v>33</v>
      </c>
    </row>
    <row r="206" customFormat="false" ht="15" hidden="false" customHeight="false" outlineLevel="0" collapsed="false">
      <c r="A206" s="8" t="n">
        <v>205</v>
      </c>
      <c r="B206" s="8" t="s">
        <v>503</v>
      </c>
      <c r="C206" s="8" t="s">
        <v>27</v>
      </c>
      <c r="D206" s="8" t="s">
        <v>28</v>
      </c>
      <c r="E206" s="8" t="s">
        <v>504</v>
      </c>
      <c r="F206" s="8" t="s">
        <v>53</v>
      </c>
      <c r="G206" s="8" t="s">
        <v>54</v>
      </c>
      <c r="H206" s="8" t="s">
        <v>55</v>
      </c>
      <c r="I206" s="8" t="s">
        <v>56</v>
      </c>
      <c r="J206" s="9" t="n">
        <v>0.142857142857143</v>
      </c>
      <c r="K206" s="8" t="s">
        <v>33</v>
      </c>
    </row>
    <row r="207" customFormat="false" ht="15" hidden="false" customHeight="false" outlineLevel="0" collapsed="false">
      <c r="A207" s="8" t="n">
        <v>206</v>
      </c>
      <c r="B207" s="8" t="s">
        <v>505</v>
      </c>
      <c r="C207" s="8" t="s">
        <v>27</v>
      </c>
      <c r="D207" s="8" t="s">
        <v>28</v>
      </c>
      <c r="E207" s="8" t="s">
        <v>506</v>
      </c>
      <c r="F207" s="8" t="s">
        <v>53</v>
      </c>
      <c r="G207" s="8" t="s">
        <v>54</v>
      </c>
      <c r="H207" s="8" t="s">
        <v>55</v>
      </c>
      <c r="I207" s="8" t="s">
        <v>56</v>
      </c>
      <c r="J207" s="9" t="n">
        <v>0.142857142857143</v>
      </c>
      <c r="K207" s="8" t="s">
        <v>33</v>
      </c>
    </row>
    <row r="208" customFormat="false" ht="15" hidden="false" customHeight="false" outlineLevel="0" collapsed="false">
      <c r="A208" s="8" t="n">
        <v>207</v>
      </c>
      <c r="B208" s="8" t="s">
        <v>507</v>
      </c>
      <c r="C208" s="8" t="s">
        <v>27</v>
      </c>
      <c r="D208" s="8" t="s">
        <v>28</v>
      </c>
      <c r="E208" s="8" t="s">
        <v>508</v>
      </c>
      <c r="F208" s="8" t="s">
        <v>53</v>
      </c>
      <c r="G208" s="8" t="s">
        <v>54</v>
      </c>
      <c r="H208" s="8" t="s">
        <v>55</v>
      </c>
      <c r="I208" s="8" t="s">
        <v>56</v>
      </c>
      <c r="J208" s="9" t="n">
        <v>0.142857142857143</v>
      </c>
      <c r="K208" s="8" t="s">
        <v>33</v>
      </c>
    </row>
    <row r="209" customFormat="false" ht="15" hidden="false" customHeight="false" outlineLevel="0" collapsed="false">
      <c r="A209" s="8" t="n">
        <v>208</v>
      </c>
      <c r="B209" s="8" t="s">
        <v>509</v>
      </c>
      <c r="C209" s="8" t="s">
        <v>27</v>
      </c>
      <c r="D209" s="8" t="s">
        <v>28</v>
      </c>
      <c r="E209" s="8" t="s">
        <v>510</v>
      </c>
      <c r="F209" s="8" t="s">
        <v>53</v>
      </c>
      <c r="G209" s="8" t="s">
        <v>54</v>
      </c>
      <c r="H209" s="8" t="s">
        <v>55</v>
      </c>
      <c r="I209" s="8" t="s">
        <v>56</v>
      </c>
      <c r="J209" s="9" t="n">
        <v>0.285714285714286</v>
      </c>
      <c r="K209" s="8" t="s">
        <v>33</v>
      </c>
    </row>
    <row r="210" customFormat="false" ht="15" hidden="false" customHeight="false" outlineLevel="0" collapsed="false">
      <c r="A210" s="8" t="n">
        <v>209</v>
      </c>
      <c r="B210" s="8" t="s">
        <v>511</v>
      </c>
      <c r="C210" s="8" t="s">
        <v>27</v>
      </c>
      <c r="D210" s="8" t="s">
        <v>28</v>
      </c>
      <c r="E210" s="8" t="s">
        <v>512</v>
      </c>
      <c r="F210" s="8" t="s">
        <v>42</v>
      </c>
      <c r="G210" s="8" t="s">
        <v>43</v>
      </c>
      <c r="H210" s="8" t="s">
        <v>44</v>
      </c>
      <c r="I210" s="8" t="s">
        <v>45</v>
      </c>
      <c r="J210" s="9" t="n">
        <v>0.0555555555555556</v>
      </c>
      <c r="K210" s="8" t="s">
        <v>33</v>
      </c>
    </row>
    <row r="211" customFormat="false" ht="15" hidden="false" customHeight="false" outlineLevel="0" collapsed="false">
      <c r="A211" s="8" t="n">
        <v>210</v>
      </c>
      <c r="B211" s="8" t="s">
        <v>513</v>
      </c>
      <c r="C211" s="8" t="s">
        <v>27</v>
      </c>
      <c r="D211" s="8" t="s">
        <v>28</v>
      </c>
      <c r="E211" s="8" t="s">
        <v>514</v>
      </c>
      <c r="F211" s="8" t="s">
        <v>305</v>
      </c>
      <c r="G211" s="8" t="s">
        <v>306</v>
      </c>
      <c r="H211" s="8" t="s">
        <v>307</v>
      </c>
      <c r="I211" s="8" t="s">
        <v>306</v>
      </c>
      <c r="J211" s="9" t="n">
        <v>0</v>
      </c>
      <c r="K211" s="8" t="s">
        <v>33</v>
      </c>
    </row>
    <row r="212" customFormat="false" ht="15" hidden="false" customHeight="false" outlineLevel="0" collapsed="false">
      <c r="A212" s="8" t="n">
        <v>211</v>
      </c>
      <c r="B212" s="8" t="s">
        <v>515</v>
      </c>
      <c r="C212" s="8" t="s">
        <v>27</v>
      </c>
      <c r="D212" s="8" t="s">
        <v>28</v>
      </c>
      <c r="E212" s="8" t="s">
        <v>516</v>
      </c>
      <c r="F212" s="8" t="s">
        <v>53</v>
      </c>
      <c r="G212" s="8" t="s">
        <v>54</v>
      </c>
      <c r="H212" s="8" t="s">
        <v>55</v>
      </c>
      <c r="I212" s="8" t="s">
        <v>56</v>
      </c>
      <c r="J212" s="9" t="n">
        <v>0.285714285714286</v>
      </c>
      <c r="K212" s="8" t="s">
        <v>33</v>
      </c>
    </row>
    <row r="213" customFormat="false" ht="15" hidden="false" customHeight="false" outlineLevel="0" collapsed="false">
      <c r="A213" s="8" t="n">
        <v>212</v>
      </c>
      <c r="B213" s="8" t="s">
        <v>517</v>
      </c>
      <c r="C213" s="8" t="s">
        <v>27</v>
      </c>
      <c r="D213" s="8" t="s">
        <v>28</v>
      </c>
      <c r="E213" s="8" t="s">
        <v>518</v>
      </c>
      <c r="F213" s="8" t="s">
        <v>36</v>
      </c>
      <c r="G213" s="8" t="s">
        <v>37</v>
      </c>
      <c r="H213" s="8" t="s">
        <v>38</v>
      </c>
      <c r="I213" s="8" t="s">
        <v>39</v>
      </c>
      <c r="J213" s="9" t="n">
        <v>0.375</v>
      </c>
      <c r="K213" s="8" t="s">
        <v>33</v>
      </c>
    </row>
    <row r="214" customFormat="false" ht="15" hidden="false" customHeight="false" outlineLevel="0" collapsed="false">
      <c r="A214" s="8" t="n">
        <v>213</v>
      </c>
      <c r="B214" s="8" t="s">
        <v>519</v>
      </c>
      <c r="C214" s="8" t="s">
        <v>27</v>
      </c>
      <c r="D214" s="8" t="s">
        <v>28</v>
      </c>
      <c r="E214" s="8" t="s">
        <v>520</v>
      </c>
      <c r="F214" s="8" t="s">
        <v>42</v>
      </c>
      <c r="G214" s="8" t="s">
        <v>43</v>
      </c>
      <c r="H214" s="8" t="s">
        <v>44</v>
      </c>
      <c r="I214" s="8" t="s">
        <v>45</v>
      </c>
      <c r="J214" s="9" t="n">
        <v>0.333333333333333</v>
      </c>
      <c r="K214" s="8" t="s">
        <v>33</v>
      </c>
    </row>
    <row r="215" customFormat="false" ht="15" hidden="false" customHeight="false" outlineLevel="0" collapsed="false">
      <c r="A215" s="8" t="n">
        <v>214</v>
      </c>
      <c r="B215" s="8" t="s">
        <v>521</v>
      </c>
      <c r="C215" s="8" t="s">
        <v>27</v>
      </c>
      <c r="D215" s="8" t="s">
        <v>28</v>
      </c>
      <c r="E215" s="8" t="s">
        <v>522</v>
      </c>
      <c r="F215" s="8" t="s">
        <v>53</v>
      </c>
      <c r="G215" s="8" t="s">
        <v>54</v>
      </c>
      <c r="H215" s="8" t="s">
        <v>55</v>
      </c>
      <c r="I215" s="8" t="s">
        <v>56</v>
      </c>
      <c r="J215" s="9" t="n">
        <v>0.142857142857143</v>
      </c>
      <c r="K215" s="8" t="s">
        <v>33</v>
      </c>
    </row>
    <row r="216" customFormat="false" ht="15" hidden="false" customHeight="false" outlineLevel="0" collapsed="false">
      <c r="A216" s="8" t="n">
        <v>215</v>
      </c>
      <c r="B216" s="8" t="s">
        <v>523</v>
      </c>
      <c r="C216" s="8" t="s">
        <v>27</v>
      </c>
      <c r="D216" s="8" t="s">
        <v>28</v>
      </c>
      <c r="E216" s="8" t="s">
        <v>524</v>
      </c>
      <c r="F216" s="8" t="s">
        <v>53</v>
      </c>
      <c r="G216" s="8" t="s">
        <v>54</v>
      </c>
      <c r="H216" s="8" t="s">
        <v>55</v>
      </c>
      <c r="I216" s="8" t="s">
        <v>56</v>
      </c>
      <c r="J216" s="9" t="n">
        <v>0.142857142857143</v>
      </c>
      <c r="K216" s="8" t="s">
        <v>33</v>
      </c>
    </row>
    <row r="217" customFormat="false" ht="15" hidden="false" customHeight="false" outlineLevel="0" collapsed="false">
      <c r="A217" s="8" t="n">
        <v>216</v>
      </c>
      <c r="B217" s="8" t="s">
        <v>525</v>
      </c>
      <c r="C217" s="8" t="s">
        <v>27</v>
      </c>
      <c r="D217" s="8" t="s">
        <v>28</v>
      </c>
      <c r="E217" s="8" t="s">
        <v>526</v>
      </c>
      <c r="F217" s="8" t="s">
        <v>53</v>
      </c>
      <c r="G217" s="8" t="s">
        <v>54</v>
      </c>
      <c r="H217" s="8" t="s">
        <v>55</v>
      </c>
      <c r="I217" s="8" t="s">
        <v>56</v>
      </c>
      <c r="J217" s="9" t="n">
        <v>0.285714285714286</v>
      </c>
      <c r="K217" s="8" t="s">
        <v>33</v>
      </c>
    </row>
    <row r="218" customFormat="false" ht="15" hidden="false" customHeight="false" outlineLevel="0" collapsed="false">
      <c r="A218" s="8" t="n">
        <v>217</v>
      </c>
      <c r="B218" s="8" t="s">
        <v>527</v>
      </c>
      <c r="C218" s="8" t="s">
        <v>27</v>
      </c>
      <c r="D218" s="8" t="s">
        <v>28</v>
      </c>
      <c r="E218" s="8" t="s">
        <v>528</v>
      </c>
      <c r="F218" s="8" t="s">
        <v>36</v>
      </c>
      <c r="G218" s="8" t="s">
        <v>37</v>
      </c>
      <c r="H218" s="8" t="s">
        <v>38</v>
      </c>
      <c r="I218" s="8" t="s">
        <v>39</v>
      </c>
      <c r="J218" s="9" t="n">
        <v>0.375</v>
      </c>
      <c r="K218" s="8" t="s">
        <v>33</v>
      </c>
    </row>
    <row r="219" customFormat="false" ht="15" hidden="false" customHeight="false" outlineLevel="0" collapsed="false">
      <c r="A219" s="8" t="n">
        <v>218</v>
      </c>
      <c r="B219" s="8" t="s">
        <v>529</v>
      </c>
      <c r="C219" s="8" t="s">
        <v>27</v>
      </c>
      <c r="D219" s="8" t="s">
        <v>28</v>
      </c>
      <c r="E219" s="8" t="s">
        <v>530</v>
      </c>
      <c r="F219" s="8" t="s">
        <v>36</v>
      </c>
      <c r="G219" s="8" t="s">
        <v>37</v>
      </c>
      <c r="H219" s="8" t="s">
        <v>38</v>
      </c>
      <c r="I219" s="8" t="s">
        <v>39</v>
      </c>
      <c r="J219" s="9" t="n">
        <v>0.25</v>
      </c>
      <c r="K219" s="8" t="s">
        <v>33</v>
      </c>
    </row>
    <row r="220" customFormat="false" ht="15" hidden="false" customHeight="false" outlineLevel="0" collapsed="false">
      <c r="A220" s="8" t="n">
        <v>219</v>
      </c>
      <c r="B220" s="8" t="s">
        <v>531</v>
      </c>
      <c r="C220" s="8" t="s">
        <v>27</v>
      </c>
      <c r="D220" s="8" t="s">
        <v>28</v>
      </c>
      <c r="E220" s="8" t="s">
        <v>532</v>
      </c>
      <c r="F220" s="8" t="s">
        <v>48</v>
      </c>
      <c r="G220" s="8" t="s">
        <v>49</v>
      </c>
      <c r="H220" s="8" t="s">
        <v>50</v>
      </c>
      <c r="I220" s="8" t="s">
        <v>49</v>
      </c>
      <c r="J220" s="9" t="n">
        <v>0.125</v>
      </c>
      <c r="K220" s="8" t="s">
        <v>33</v>
      </c>
    </row>
    <row r="221" customFormat="false" ht="15" hidden="false" customHeight="false" outlineLevel="0" collapsed="false">
      <c r="A221" s="8" t="n">
        <v>220</v>
      </c>
      <c r="B221" s="8" t="s">
        <v>533</v>
      </c>
      <c r="C221" s="8" t="s">
        <v>27</v>
      </c>
      <c r="D221" s="8" t="s">
        <v>28</v>
      </c>
      <c r="E221" s="8" t="s">
        <v>534</v>
      </c>
      <c r="F221" s="8" t="s">
        <v>30</v>
      </c>
      <c r="G221" s="8" t="s">
        <v>31</v>
      </c>
      <c r="H221" s="8" t="s">
        <v>32</v>
      </c>
      <c r="I221" s="8" t="s">
        <v>31</v>
      </c>
      <c r="J221" s="9" t="n">
        <v>0.0588235294117647</v>
      </c>
      <c r="K221" s="8" t="s">
        <v>33</v>
      </c>
    </row>
    <row r="222" customFormat="false" ht="15" hidden="false" customHeight="false" outlineLevel="0" collapsed="false">
      <c r="A222" s="8" t="n">
        <v>221</v>
      </c>
      <c r="B222" s="8" t="s">
        <v>535</v>
      </c>
      <c r="C222" s="8" t="s">
        <v>27</v>
      </c>
      <c r="D222" s="8" t="s">
        <v>28</v>
      </c>
      <c r="E222" s="8" t="s">
        <v>536</v>
      </c>
      <c r="F222" s="8" t="s">
        <v>53</v>
      </c>
      <c r="G222" s="8" t="s">
        <v>54</v>
      </c>
      <c r="H222" s="8" t="s">
        <v>55</v>
      </c>
      <c r="I222" s="8" t="s">
        <v>56</v>
      </c>
      <c r="J222" s="9" t="n">
        <v>0.285714285714286</v>
      </c>
      <c r="K222" s="8" t="s">
        <v>33</v>
      </c>
    </row>
    <row r="223" customFormat="false" ht="15" hidden="false" customHeight="false" outlineLevel="0" collapsed="false">
      <c r="A223" s="8" t="n">
        <v>222</v>
      </c>
      <c r="B223" s="8" t="s">
        <v>537</v>
      </c>
      <c r="C223" s="8" t="s">
        <v>27</v>
      </c>
      <c r="D223" s="8" t="s">
        <v>28</v>
      </c>
      <c r="E223" s="8" t="s">
        <v>538</v>
      </c>
      <c r="F223" s="8" t="s">
        <v>42</v>
      </c>
      <c r="G223" s="8" t="s">
        <v>43</v>
      </c>
      <c r="H223" s="8" t="s">
        <v>44</v>
      </c>
      <c r="I223" s="8" t="s">
        <v>45</v>
      </c>
      <c r="J223" s="9" t="n">
        <v>0.222222222222222</v>
      </c>
      <c r="K223" s="8" t="s">
        <v>33</v>
      </c>
    </row>
    <row r="224" customFormat="false" ht="15" hidden="false" customHeight="false" outlineLevel="0" collapsed="false">
      <c r="A224" s="8" t="n">
        <v>223</v>
      </c>
      <c r="B224" s="8" t="s">
        <v>539</v>
      </c>
      <c r="C224" s="8" t="s">
        <v>27</v>
      </c>
      <c r="D224" s="8" t="s">
        <v>28</v>
      </c>
      <c r="E224" s="8" t="s">
        <v>540</v>
      </c>
      <c r="F224" s="8" t="s">
        <v>36</v>
      </c>
      <c r="G224" s="8" t="s">
        <v>37</v>
      </c>
      <c r="H224" s="8" t="s">
        <v>38</v>
      </c>
      <c r="I224" s="8" t="s">
        <v>39</v>
      </c>
      <c r="J224" s="9" t="n">
        <v>0.25</v>
      </c>
      <c r="K224" s="8" t="s">
        <v>33</v>
      </c>
    </row>
    <row r="225" customFormat="false" ht="15" hidden="false" customHeight="false" outlineLevel="0" collapsed="false">
      <c r="A225" s="8" t="n">
        <v>224</v>
      </c>
      <c r="B225" s="8" t="s">
        <v>541</v>
      </c>
      <c r="C225" s="8" t="s">
        <v>27</v>
      </c>
      <c r="D225" s="8" t="s">
        <v>28</v>
      </c>
      <c r="E225" s="8" t="s">
        <v>542</v>
      </c>
      <c r="F225" s="8" t="s">
        <v>53</v>
      </c>
      <c r="G225" s="8" t="s">
        <v>54</v>
      </c>
      <c r="H225" s="8" t="s">
        <v>55</v>
      </c>
      <c r="I225" s="8" t="s">
        <v>56</v>
      </c>
      <c r="J225" s="9" t="n">
        <v>0.285714285714286</v>
      </c>
      <c r="K225" s="8" t="s">
        <v>33</v>
      </c>
    </row>
    <row r="226" customFormat="false" ht="15" hidden="false" customHeight="false" outlineLevel="0" collapsed="false">
      <c r="A226" s="8" t="n">
        <v>225</v>
      </c>
      <c r="B226" s="8" t="s">
        <v>543</v>
      </c>
      <c r="C226" s="8" t="s">
        <v>27</v>
      </c>
      <c r="D226" s="8" t="s">
        <v>28</v>
      </c>
      <c r="E226" s="8" t="s">
        <v>544</v>
      </c>
      <c r="F226" s="8" t="s">
        <v>42</v>
      </c>
      <c r="G226" s="8" t="s">
        <v>43</v>
      </c>
      <c r="H226" s="8" t="s">
        <v>44</v>
      </c>
      <c r="I226" s="8" t="s">
        <v>45</v>
      </c>
      <c r="J226" s="9" t="n">
        <v>0.333333333333333</v>
      </c>
      <c r="K226" s="8" t="s">
        <v>33</v>
      </c>
    </row>
    <row r="227" customFormat="false" ht="15" hidden="false" customHeight="false" outlineLevel="0" collapsed="false">
      <c r="A227" s="8" t="n">
        <v>226</v>
      </c>
      <c r="B227" s="8" t="s">
        <v>545</v>
      </c>
      <c r="C227" s="8" t="s">
        <v>27</v>
      </c>
      <c r="D227" s="8" t="s">
        <v>28</v>
      </c>
      <c r="E227" s="8" t="s">
        <v>546</v>
      </c>
      <c r="F227" s="8" t="s">
        <v>48</v>
      </c>
      <c r="G227" s="8" t="s">
        <v>49</v>
      </c>
      <c r="H227" s="8" t="s">
        <v>50</v>
      </c>
      <c r="I227" s="8" t="s">
        <v>49</v>
      </c>
      <c r="J227" s="9" t="n">
        <v>0.1875</v>
      </c>
      <c r="K227" s="8" t="s">
        <v>33</v>
      </c>
    </row>
    <row r="228" customFormat="false" ht="15" hidden="false" customHeight="false" outlineLevel="0" collapsed="false">
      <c r="A228" s="8" t="n">
        <v>227</v>
      </c>
      <c r="B228" s="8" t="s">
        <v>547</v>
      </c>
      <c r="C228" s="8" t="s">
        <v>27</v>
      </c>
      <c r="D228" s="8" t="s">
        <v>28</v>
      </c>
      <c r="E228" s="8" t="s">
        <v>548</v>
      </c>
      <c r="F228" s="8" t="s">
        <v>30</v>
      </c>
      <c r="G228" s="8" t="s">
        <v>31</v>
      </c>
      <c r="H228" s="8" t="s">
        <v>32</v>
      </c>
      <c r="I228" s="8" t="s">
        <v>31</v>
      </c>
      <c r="J228" s="9" t="n">
        <v>0.117647058823529</v>
      </c>
      <c r="K228" s="8" t="s">
        <v>33</v>
      </c>
    </row>
    <row r="229" customFormat="false" ht="15" hidden="false" customHeight="false" outlineLevel="0" collapsed="false">
      <c r="A229" s="8" t="n">
        <v>228</v>
      </c>
      <c r="B229" s="8" t="s">
        <v>549</v>
      </c>
      <c r="C229" s="8" t="s">
        <v>27</v>
      </c>
      <c r="D229" s="8" t="s">
        <v>28</v>
      </c>
      <c r="E229" s="8" t="s">
        <v>550</v>
      </c>
      <c r="F229" s="8" t="s">
        <v>48</v>
      </c>
      <c r="G229" s="8" t="s">
        <v>49</v>
      </c>
      <c r="H229" s="8" t="s">
        <v>50</v>
      </c>
      <c r="I229" s="8" t="s">
        <v>49</v>
      </c>
      <c r="J229" s="9" t="n">
        <v>0.125</v>
      </c>
      <c r="K229" s="8" t="s">
        <v>33</v>
      </c>
    </row>
    <row r="230" customFormat="false" ht="15" hidden="false" customHeight="false" outlineLevel="0" collapsed="false">
      <c r="A230" s="8" t="n">
        <v>229</v>
      </c>
      <c r="B230" s="8" t="s">
        <v>551</v>
      </c>
      <c r="C230" s="8" t="s">
        <v>27</v>
      </c>
      <c r="D230" s="8" t="s">
        <v>28</v>
      </c>
      <c r="E230" s="8" t="s">
        <v>552</v>
      </c>
      <c r="F230" s="8" t="s">
        <v>179</v>
      </c>
      <c r="G230" s="8" t="s">
        <v>180</v>
      </c>
      <c r="H230" s="8" t="s">
        <v>553</v>
      </c>
      <c r="I230" s="8" t="s">
        <v>554</v>
      </c>
      <c r="J230" s="9" t="n">
        <v>0.5</v>
      </c>
      <c r="K230" s="8" t="s">
        <v>33</v>
      </c>
    </row>
    <row r="231" customFormat="false" ht="15" hidden="false" customHeight="false" outlineLevel="0" collapsed="false">
      <c r="A231" s="8" t="n">
        <v>230</v>
      </c>
      <c r="B231" s="8" t="s">
        <v>555</v>
      </c>
      <c r="C231" s="8" t="s">
        <v>27</v>
      </c>
      <c r="D231" s="8" t="s">
        <v>28</v>
      </c>
      <c r="E231" s="8" t="s">
        <v>556</v>
      </c>
      <c r="F231" s="8" t="s">
        <v>53</v>
      </c>
      <c r="G231" s="8" t="s">
        <v>54</v>
      </c>
      <c r="H231" s="8" t="s">
        <v>55</v>
      </c>
      <c r="I231" s="8" t="s">
        <v>56</v>
      </c>
      <c r="J231" s="9" t="n">
        <v>0.142857142857143</v>
      </c>
      <c r="K231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45"/>
    <col collapsed="false" customWidth="true" hidden="false" outlineLevel="0" max="4" min="4" style="0" width="4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42"/>
    <col collapsed="false" customWidth="true" hidden="false" outlineLevel="0" max="9" min="9" style="0" width="11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7" t="s">
        <v>557</v>
      </c>
      <c r="B1" s="7" t="s">
        <v>15</v>
      </c>
      <c r="C1" s="7" t="s">
        <v>558</v>
      </c>
      <c r="D1" s="7" t="s">
        <v>559</v>
      </c>
      <c r="E1" s="7" t="s">
        <v>560</v>
      </c>
      <c r="F1" s="7" t="s">
        <v>20</v>
      </c>
      <c r="G1" s="7" t="s">
        <v>22</v>
      </c>
      <c r="H1" s="7" t="s">
        <v>23</v>
      </c>
      <c r="I1" s="7" t="s">
        <v>24</v>
      </c>
      <c r="J1" s="7" t="s">
        <v>25</v>
      </c>
    </row>
    <row r="2" customFormat="false" ht="15" hidden="false" customHeight="false" outlineLevel="0" collapsed="false">
      <c r="A2" s="8" t="n">
        <v>5</v>
      </c>
      <c r="B2" s="8" t="n">
        <v>1</v>
      </c>
      <c r="C2" s="8" t="str">
        <f aca="false">IFERROR(INDEX('Project Classifications'!$B$2:$B$231,MATCH(B2,'Project Classifications'!$A$2:$A$231,0)),"")</f>
        <v>Data for: Socializing Policy Feedback: The Persistent Effects of Adolescent Policy Program Use on Political Behaviors and Attitudes in Adulthood</v>
      </c>
      <c r="D2" s="8" t="s">
        <v>561</v>
      </c>
      <c r="E2" s="8" t="s">
        <v>562</v>
      </c>
      <c r="F2" s="8" t="s">
        <v>30</v>
      </c>
      <c r="G2" s="8" t="s">
        <v>32</v>
      </c>
      <c r="H2" s="8" t="s">
        <v>31</v>
      </c>
      <c r="I2" s="9" t="n">
        <v>0.235294117647059</v>
      </c>
      <c r="J2" s="8" t="s">
        <v>33</v>
      </c>
    </row>
    <row r="3" customFormat="false" ht="15" hidden="false" customHeight="false" outlineLevel="0" collapsed="false">
      <c r="A3" s="8" t="n">
        <v>7</v>
      </c>
      <c r="B3" s="8" t="n">
        <v>1</v>
      </c>
      <c r="C3" s="8" t="str">
        <f aca="false">IFERROR(INDEX('Project Classifications'!$B$2:$B$231,MATCH(B3,'Project Classifications'!$A$2:$A$231,0)),"")</f>
        <v>Data for: Socializing Policy Feedback: The Persistent Effects of Adolescent Policy Program Use on Political Behaviors and Attitudes in Adulthood</v>
      </c>
      <c r="D3" s="8" t="s">
        <v>563</v>
      </c>
      <c r="E3" s="8" t="s">
        <v>562</v>
      </c>
      <c r="F3" s="8" t="s">
        <v>30</v>
      </c>
      <c r="G3" s="8" t="s">
        <v>32</v>
      </c>
      <c r="H3" s="8" t="s">
        <v>31</v>
      </c>
      <c r="I3" s="9" t="n">
        <v>0.176470588235294</v>
      </c>
      <c r="J3" s="8" t="s">
        <v>33</v>
      </c>
    </row>
    <row r="4" customFormat="false" ht="15" hidden="false" customHeight="false" outlineLevel="0" collapsed="false">
      <c r="A4" s="8" t="n">
        <v>8</v>
      </c>
      <c r="B4" s="8" t="n">
        <v>1</v>
      </c>
      <c r="C4" s="8" t="str">
        <f aca="false">IFERROR(INDEX('Project Classifications'!$B$2:$B$231,MATCH(B4,'Project Classifications'!$A$2:$A$231,0)),"")</f>
        <v>Data for: Socializing Policy Feedback: The Persistent Effects of Adolescent Policy Program Use on Political Behaviors and Attitudes in Adulthood</v>
      </c>
      <c r="D4" s="8" t="s">
        <v>564</v>
      </c>
      <c r="E4" s="8" t="s">
        <v>562</v>
      </c>
      <c r="F4" s="8" t="s">
        <v>30</v>
      </c>
      <c r="G4" s="8" t="s">
        <v>32</v>
      </c>
      <c r="H4" s="8" t="s">
        <v>31</v>
      </c>
      <c r="I4" s="9" t="n">
        <v>0.117647058823529</v>
      </c>
      <c r="J4" s="8" t="s">
        <v>33</v>
      </c>
    </row>
    <row r="5" customFormat="false" ht="15" hidden="false" customHeight="false" outlineLevel="0" collapsed="false">
      <c r="A5" s="8" t="n">
        <v>9</v>
      </c>
      <c r="B5" s="8" t="n">
        <v>1</v>
      </c>
      <c r="C5" s="8" t="str">
        <f aca="false">IFERROR(INDEX('Project Classifications'!$B$2:$B$231,MATCH(B5,'Project Classifications'!$A$2:$A$231,0)),"")</f>
        <v>Data for: Socializing Policy Feedback: The Persistent Effects of Adolescent Policy Program Use on Political Behaviors and Attitudes in Adulthood</v>
      </c>
      <c r="D5" s="8" t="s">
        <v>565</v>
      </c>
      <c r="E5" s="8" t="s">
        <v>562</v>
      </c>
      <c r="F5" s="8" t="s">
        <v>30</v>
      </c>
      <c r="G5" s="8" t="s">
        <v>32</v>
      </c>
      <c r="H5" s="8" t="s">
        <v>31</v>
      </c>
      <c r="I5" s="9" t="n">
        <v>0.117647058823529</v>
      </c>
      <c r="J5" s="8" t="s">
        <v>33</v>
      </c>
    </row>
    <row r="6" customFormat="false" ht="15" hidden="false" customHeight="false" outlineLevel="0" collapsed="false">
      <c r="A6" s="8" t="n">
        <v>10</v>
      </c>
      <c r="B6" s="8" t="n">
        <v>1</v>
      </c>
      <c r="C6" s="8" t="str">
        <f aca="false">IFERROR(INDEX('Project Classifications'!$B$2:$B$231,MATCH(B6,'Project Classifications'!$A$2:$A$231,0)),"")</f>
        <v>Data for: Socializing Policy Feedback: The Persistent Effects of Adolescent Policy Program Use on Political Behaviors and Attitudes in Adulthood</v>
      </c>
      <c r="D6" s="8" t="s">
        <v>566</v>
      </c>
      <c r="E6" s="8" t="s">
        <v>562</v>
      </c>
      <c r="F6" s="8" t="s">
        <v>30</v>
      </c>
      <c r="G6" s="8" t="s">
        <v>32</v>
      </c>
      <c r="H6" s="8" t="s">
        <v>31</v>
      </c>
      <c r="I6" s="9" t="n">
        <v>0.117647058823529</v>
      </c>
      <c r="J6" s="8" t="s">
        <v>33</v>
      </c>
    </row>
    <row r="7" customFormat="false" ht="15" hidden="false" customHeight="false" outlineLevel="0" collapsed="false">
      <c r="A7" s="8" t="n">
        <v>11</v>
      </c>
      <c r="B7" s="8" t="n">
        <v>1</v>
      </c>
      <c r="C7" s="8" t="str">
        <f aca="false">IFERROR(INDEX('Project Classifications'!$B$2:$B$231,MATCH(B7,'Project Classifications'!$A$2:$A$231,0)),"")</f>
        <v>Data for: Socializing Policy Feedback: The Persistent Effects of Adolescent Policy Program Use on Political Behaviors and Attitudes in Adulthood</v>
      </c>
      <c r="D7" s="8" t="s">
        <v>567</v>
      </c>
      <c r="E7" s="8" t="s">
        <v>562</v>
      </c>
      <c r="F7" s="8" t="s">
        <v>30</v>
      </c>
      <c r="G7" s="8" t="s">
        <v>32</v>
      </c>
      <c r="H7" s="8" t="s">
        <v>31</v>
      </c>
      <c r="I7" s="9" t="n">
        <v>0.0588235294117647</v>
      </c>
      <c r="J7" s="8" t="s">
        <v>33</v>
      </c>
    </row>
    <row r="8" customFormat="false" ht="15" hidden="false" customHeight="false" outlineLevel="0" collapsed="false">
      <c r="A8" s="8" t="n">
        <v>12</v>
      </c>
      <c r="B8" s="8" t="n">
        <v>1</v>
      </c>
      <c r="C8" s="8" t="str">
        <f aca="false">IFERROR(INDEX('Project Classifications'!$B$2:$B$231,MATCH(B8,'Project Classifications'!$A$2:$A$231,0)),"")</f>
        <v>Data for: Socializing Policy Feedback: The Persistent Effects of Adolescent Policy Program Use on Political Behaviors and Attitudes in Adulthood</v>
      </c>
      <c r="D8" s="8" t="s">
        <v>568</v>
      </c>
      <c r="E8" s="8" t="s">
        <v>562</v>
      </c>
      <c r="F8" s="8" t="s">
        <v>30</v>
      </c>
      <c r="G8" s="8" t="s">
        <v>32</v>
      </c>
      <c r="H8" s="8" t="s">
        <v>31</v>
      </c>
      <c r="I8" s="9" t="n">
        <v>0.117647058823529</v>
      </c>
      <c r="J8" s="8" t="s">
        <v>33</v>
      </c>
    </row>
    <row r="9" customFormat="false" ht="15" hidden="false" customHeight="false" outlineLevel="0" collapsed="false">
      <c r="A9" s="8" t="n">
        <v>13</v>
      </c>
      <c r="B9" s="8" t="n">
        <v>1</v>
      </c>
      <c r="C9" s="8" t="str">
        <f aca="false">IFERROR(INDEX('Project Classifications'!$B$2:$B$231,MATCH(B9,'Project Classifications'!$A$2:$A$231,0)),"")</f>
        <v>Data for: Socializing Policy Feedback: The Persistent Effects of Adolescent Policy Program Use on Political Behaviors and Attitudes in Adulthood</v>
      </c>
      <c r="D9" s="8" t="s">
        <v>569</v>
      </c>
      <c r="E9" s="8" t="s">
        <v>562</v>
      </c>
      <c r="F9" s="8" t="s">
        <v>30</v>
      </c>
      <c r="G9" s="8" t="s">
        <v>32</v>
      </c>
      <c r="H9" s="8" t="s">
        <v>31</v>
      </c>
      <c r="I9" s="9" t="n">
        <v>0.117647058823529</v>
      </c>
      <c r="J9" s="8" t="s">
        <v>33</v>
      </c>
    </row>
    <row r="10" customFormat="false" ht="15" hidden="false" customHeight="false" outlineLevel="0" collapsed="false">
      <c r="A10" s="8" t="n">
        <v>14</v>
      </c>
      <c r="B10" s="8" t="n">
        <v>1</v>
      </c>
      <c r="C10" s="8" t="str">
        <f aca="false">IFERROR(INDEX('Project Classifications'!$B$2:$B$231,MATCH(B10,'Project Classifications'!$A$2:$A$231,0)),"")</f>
        <v>Data for: Socializing Policy Feedback: The Persistent Effects of Adolescent Policy Program Use on Political Behaviors and Attitudes in Adulthood</v>
      </c>
      <c r="D10" s="8" t="s">
        <v>570</v>
      </c>
      <c r="E10" s="8" t="s">
        <v>562</v>
      </c>
      <c r="F10" s="8" t="s">
        <v>195</v>
      </c>
      <c r="G10" s="8" t="s">
        <v>197</v>
      </c>
      <c r="H10" s="8" t="s">
        <v>198</v>
      </c>
      <c r="I10" s="9" t="n">
        <v>0.5</v>
      </c>
      <c r="J10" s="8" t="s">
        <v>33</v>
      </c>
    </row>
    <row r="11" customFormat="false" ht="15" hidden="false" customHeight="false" outlineLevel="0" collapsed="false">
      <c r="A11" s="8" t="n">
        <v>15</v>
      </c>
      <c r="B11" s="8" t="n">
        <v>1</v>
      </c>
      <c r="C11" s="8" t="str">
        <f aca="false">IFERROR(INDEX('Project Classifications'!$B$2:$B$231,MATCH(B11,'Project Classifications'!$A$2:$A$231,0)),"")</f>
        <v>Data for: Socializing Policy Feedback: The Persistent Effects of Adolescent Policy Program Use on Political Behaviors and Attitudes in Adulthood</v>
      </c>
      <c r="D11" s="8" t="s">
        <v>571</v>
      </c>
      <c r="E11" s="8" t="s">
        <v>562</v>
      </c>
      <c r="F11" s="8" t="s">
        <v>195</v>
      </c>
      <c r="G11" s="8" t="s">
        <v>197</v>
      </c>
      <c r="H11" s="8" t="s">
        <v>198</v>
      </c>
      <c r="I11" s="9" t="n">
        <v>0.5</v>
      </c>
      <c r="J11" s="8" t="s">
        <v>33</v>
      </c>
    </row>
    <row r="12" customFormat="false" ht="15" hidden="false" customHeight="false" outlineLevel="0" collapsed="false">
      <c r="A12" s="8" t="n">
        <v>16</v>
      </c>
      <c r="B12" s="8" t="n">
        <v>1</v>
      </c>
      <c r="C12" s="8" t="str">
        <f aca="false">IFERROR(INDEX('Project Classifications'!$B$2:$B$231,MATCH(B12,'Project Classifications'!$A$2:$A$231,0)),"")</f>
        <v>Data for: Socializing Policy Feedback: The Persistent Effects of Adolescent Policy Program Use on Political Behaviors and Attitudes in Adulthood</v>
      </c>
      <c r="D12" s="8" t="s">
        <v>572</v>
      </c>
      <c r="E12" s="8" t="s">
        <v>562</v>
      </c>
      <c r="F12" s="8" t="s">
        <v>30</v>
      </c>
      <c r="G12" s="8" t="s">
        <v>32</v>
      </c>
      <c r="H12" s="8" t="s">
        <v>31</v>
      </c>
      <c r="I12" s="9" t="n">
        <v>0.117647058823529</v>
      </c>
      <c r="J12" s="8" t="s">
        <v>33</v>
      </c>
    </row>
    <row r="13" customFormat="false" ht="15" hidden="false" customHeight="false" outlineLevel="0" collapsed="false">
      <c r="A13" s="8" t="n">
        <v>49</v>
      </c>
      <c r="B13" s="8" t="n">
        <v>1</v>
      </c>
      <c r="C13" s="8" t="str">
        <f aca="false">IFERROR(INDEX('Project Classifications'!$B$2:$B$231,MATCH(B13,'Project Classifications'!$A$2:$A$231,0)),"")</f>
        <v>Data for: Socializing Policy Feedback: The Persistent Effects of Adolescent Policy Program Use on Political Behaviors and Attitudes in Adulthood</v>
      </c>
      <c r="D13" s="8" t="s">
        <v>573</v>
      </c>
      <c r="E13" s="8" t="s">
        <v>574</v>
      </c>
      <c r="F13" s="8" t="s">
        <v>30</v>
      </c>
      <c r="G13" s="8" t="s">
        <v>32</v>
      </c>
      <c r="H13" s="8" t="s">
        <v>31</v>
      </c>
      <c r="I13" s="9" t="n">
        <v>0.176470588235294</v>
      </c>
      <c r="J13" s="8" t="s">
        <v>33</v>
      </c>
    </row>
    <row r="14" customFormat="false" ht="15" hidden="false" customHeight="false" outlineLevel="0" collapsed="false">
      <c r="A14" s="8" t="n">
        <v>59</v>
      </c>
      <c r="B14" s="8" t="n">
        <v>2</v>
      </c>
      <c r="C14" s="8" t="str">
        <f aca="false">IFERROR(INDEX('Project Classifications'!$B$2:$B$231,MATCH(B14,'Project Classifications'!$A$2:$A$231,0)),"")</f>
        <v>Interviews Regarding Data Curation for Qualitative Data Reuse and Big Social Research</v>
      </c>
      <c r="D14" s="8" t="s">
        <v>575</v>
      </c>
      <c r="E14" s="8" t="s">
        <v>562</v>
      </c>
      <c r="F14" s="8" t="s">
        <v>36</v>
      </c>
      <c r="G14" s="8" t="s">
        <v>38</v>
      </c>
      <c r="H14" s="8" t="s">
        <v>39</v>
      </c>
      <c r="I14" s="9" t="n">
        <v>0.25</v>
      </c>
      <c r="J14" s="8" t="s">
        <v>33</v>
      </c>
    </row>
    <row r="15" customFormat="false" ht="15" hidden="false" customHeight="false" outlineLevel="0" collapsed="false">
      <c r="A15" s="8" t="n">
        <v>60</v>
      </c>
      <c r="B15" s="8" t="n">
        <v>2</v>
      </c>
      <c r="C15" s="8" t="str">
        <f aca="false">IFERROR(INDEX('Project Classifications'!$B$2:$B$231,MATCH(B15,'Project Classifications'!$A$2:$A$231,0)),"")</f>
        <v>Interviews Regarding Data Curation for Qualitative Data Reuse and Big Social Research</v>
      </c>
      <c r="D15" s="8" t="s">
        <v>576</v>
      </c>
      <c r="E15" s="8" t="s">
        <v>562</v>
      </c>
      <c r="F15" s="8" t="s">
        <v>117</v>
      </c>
      <c r="G15" s="8" t="s">
        <v>577</v>
      </c>
      <c r="H15" s="8" t="s">
        <v>578</v>
      </c>
      <c r="I15" s="9" t="n">
        <v>0.333333333333333</v>
      </c>
      <c r="J15" s="8" t="s">
        <v>33</v>
      </c>
    </row>
    <row r="16" customFormat="false" ht="15" hidden="false" customHeight="false" outlineLevel="0" collapsed="false">
      <c r="A16" s="8" t="n">
        <v>61</v>
      </c>
      <c r="B16" s="8" t="n">
        <v>2</v>
      </c>
      <c r="C16" s="8" t="str">
        <f aca="false">IFERROR(INDEX('Project Classifications'!$B$2:$B$231,MATCH(B16,'Project Classifications'!$A$2:$A$231,0)),"")</f>
        <v>Interviews Regarding Data Curation for Qualitative Data Reuse and Big Social Research</v>
      </c>
      <c r="D16" s="8" t="s">
        <v>579</v>
      </c>
      <c r="E16" s="8" t="s">
        <v>562</v>
      </c>
      <c r="F16" s="8" t="s">
        <v>53</v>
      </c>
      <c r="G16" s="8" t="s">
        <v>55</v>
      </c>
      <c r="H16" s="8" t="s">
        <v>56</v>
      </c>
      <c r="I16" s="9" t="n">
        <v>0.142857142857143</v>
      </c>
      <c r="J16" s="8" t="s">
        <v>33</v>
      </c>
    </row>
    <row r="17" customFormat="false" ht="15" hidden="false" customHeight="false" outlineLevel="0" collapsed="false">
      <c r="A17" s="8" t="n">
        <v>62</v>
      </c>
      <c r="B17" s="8" t="n">
        <v>2</v>
      </c>
      <c r="C17" s="8" t="str">
        <f aca="false">IFERROR(INDEX('Project Classifications'!$B$2:$B$231,MATCH(B17,'Project Classifications'!$A$2:$A$231,0)),"")</f>
        <v>Interviews Regarding Data Curation for Qualitative Data Reuse and Big Social Research</v>
      </c>
      <c r="D17" s="8" t="s">
        <v>580</v>
      </c>
      <c r="E17" s="8" t="s">
        <v>562</v>
      </c>
      <c r="F17" s="8" t="s">
        <v>305</v>
      </c>
      <c r="G17" s="8" t="s">
        <v>307</v>
      </c>
      <c r="H17" s="8" t="s">
        <v>306</v>
      </c>
      <c r="I17" s="9" t="n">
        <v>0</v>
      </c>
      <c r="J17" s="8" t="s">
        <v>33</v>
      </c>
    </row>
    <row r="18" customFormat="false" ht="15" hidden="false" customHeight="false" outlineLevel="0" collapsed="false">
      <c r="A18" s="8" t="n">
        <v>73</v>
      </c>
      <c r="B18" s="8" t="n">
        <v>2</v>
      </c>
      <c r="C18" s="8" t="str">
        <f aca="false">IFERROR(INDEX('Project Classifications'!$B$2:$B$231,MATCH(B18,'Project Classifications'!$A$2:$A$231,0)),"")</f>
        <v>Interviews Regarding Data Curation for Qualitative Data Reuse and Big Social Research</v>
      </c>
      <c r="D18" s="8" t="s">
        <v>581</v>
      </c>
      <c r="E18" s="8" t="s">
        <v>562</v>
      </c>
      <c r="F18" s="8" t="s">
        <v>36</v>
      </c>
      <c r="G18" s="8" t="s">
        <v>38</v>
      </c>
      <c r="H18" s="8" t="s">
        <v>39</v>
      </c>
      <c r="I18" s="9" t="n">
        <v>0.25</v>
      </c>
      <c r="J18" s="8" t="s">
        <v>33</v>
      </c>
    </row>
    <row r="19" customFormat="false" ht="15" hidden="false" customHeight="false" outlineLevel="0" collapsed="false">
      <c r="A19" s="8" t="n">
        <v>74</v>
      </c>
      <c r="B19" s="8" t="n">
        <v>2</v>
      </c>
      <c r="C19" s="8" t="str">
        <f aca="false">IFERROR(INDEX('Project Classifications'!$B$2:$B$231,MATCH(B19,'Project Classifications'!$A$2:$A$231,0)),"")</f>
        <v>Interviews Regarding Data Curation for Qualitative Data Reuse and Big Social Research</v>
      </c>
      <c r="D19" s="8" t="s">
        <v>582</v>
      </c>
      <c r="E19" s="8" t="s">
        <v>562</v>
      </c>
      <c r="F19" s="8" t="s">
        <v>36</v>
      </c>
      <c r="G19" s="8" t="s">
        <v>38</v>
      </c>
      <c r="H19" s="8" t="s">
        <v>39</v>
      </c>
      <c r="I19" s="9" t="n">
        <v>0.375</v>
      </c>
      <c r="J19" s="8" t="s">
        <v>33</v>
      </c>
    </row>
    <row r="20" customFormat="false" ht="15" hidden="false" customHeight="false" outlineLevel="0" collapsed="false">
      <c r="A20" s="8" t="n">
        <v>75</v>
      </c>
      <c r="B20" s="8" t="n">
        <v>2</v>
      </c>
      <c r="C20" s="8" t="str">
        <f aca="false">IFERROR(INDEX('Project Classifications'!$B$2:$B$231,MATCH(B20,'Project Classifications'!$A$2:$A$231,0)),"")</f>
        <v>Interviews Regarding Data Curation for Qualitative Data Reuse and Big Social Research</v>
      </c>
      <c r="D20" s="8" t="s">
        <v>583</v>
      </c>
      <c r="E20" s="8" t="s">
        <v>562</v>
      </c>
      <c r="F20" s="8" t="s">
        <v>36</v>
      </c>
      <c r="G20" s="8" t="s">
        <v>38</v>
      </c>
      <c r="H20" s="8" t="s">
        <v>39</v>
      </c>
      <c r="I20" s="9" t="n">
        <v>0.375</v>
      </c>
      <c r="J20" s="8" t="s">
        <v>33</v>
      </c>
    </row>
    <row r="21" customFormat="false" ht="15" hidden="false" customHeight="false" outlineLevel="0" collapsed="false">
      <c r="A21" s="8" t="n">
        <v>76</v>
      </c>
      <c r="B21" s="8" t="n">
        <v>2</v>
      </c>
      <c r="C21" s="8" t="str">
        <f aca="false">IFERROR(INDEX('Project Classifications'!$B$2:$B$231,MATCH(B21,'Project Classifications'!$A$2:$A$231,0)),"")</f>
        <v>Interviews Regarding Data Curation for Qualitative Data Reuse and Big Social Research</v>
      </c>
      <c r="D21" s="8" t="s">
        <v>584</v>
      </c>
      <c r="E21" s="8" t="s">
        <v>562</v>
      </c>
      <c r="F21" s="8" t="s">
        <v>42</v>
      </c>
      <c r="G21" s="8" t="s">
        <v>44</v>
      </c>
      <c r="H21" s="8" t="s">
        <v>45</v>
      </c>
      <c r="I21" s="9" t="n">
        <v>0.222222222222222</v>
      </c>
      <c r="J21" s="8" t="s">
        <v>33</v>
      </c>
    </row>
    <row r="22" customFormat="false" ht="15" hidden="false" customHeight="false" outlineLevel="0" collapsed="false">
      <c r="A22" s="8" t="n">
        <v>77</v>
      </c>
      <c r="B22" s="8" t="n">
        <v>2</v>
      </c>
      <c r="C22" s="8" t="str">
        <f aca="false">IFERROR(INDEX('Project Classifications'!$B$2:$B$231,MATCH(B22,'Project Classifications'!$A$2:$A$231,0)),"")</f>
        <v>Interviews Regarding Data Curation for Qualitative Data Reuse and Big Social Research</v>
      </c>
      <c r="D22" s="8" t="s">
        <v>585</v>
      </c>
      <c r="E22" s="8" t="s">
        <v>562</v>
      </c>
      <c r="F22" s="8" t="s">
        <v>305</v>
      </c>
      <c r="G22" s="8" t="s">
        <v>307</v>
      </c>
      <c r="H22" s="8" t="s">
        <v>306</v>
      </c>
      <c r="I22" s="9" t="n">
        <v>0</v>
      </c>
      <c r="J22" s="8" t="s">
        <v>33</v>
      </c>
    </row>
    <row r="23" customFormat="false" ht="15" hidden="false" customHeight="false" outlineLevel="0" collapsed="false">
      <c r="A23" s="8" t="n">
        <v>88</v>
      </c>
      <c r="B23" s="8" t="n">
        <v>2</v>
      </c>
      <c r="C23" s="8" t="str">
        <f aca="false">IFERROR(INDEX('Project Classifications'!$B$2:$B$231,MATCH(B23,'Project Classifications'!$A$2:$A$231,0)),"")</f>
        <v>Interviews Regarding Data Curation for Qualitative Data Reuse and Big Social Research</v>
      </c>
      <c r="D23" s="8" t="s">
        <v>586</v>
      </c>
      <c r="E23" s="8" t="s">
        <v>562</v>
      </c>
      <c r="F23" s="8" t="s">
        <v>36</v>
      </c>
      <c r="G23" s="8" t="s">
        <v>38</v>
      </c>
      <c r="H23" s="8" t="s">
        <v>39</v>
      </c>
      <c r="I23" s="9" t="n">
        <v>0.25</v>
      </c>
      <c r="J23" s="8" t="s">
        <v>33</v>
      </c>
    </row>
    <row r="24" customFormat="false" ht="15" hidden="false" customHeight="false" outlineLevel="0" collapsed="false">
      <c r="A24" s="8" t="n">
        <v>91</v>
      </c>
      <c r="B24" s="8" t="n">
        <v>2</v>
      </c>
      <c r="C24" s="8" t="str">
        <f aca="false">IFERROR(INDEX('Project Classifications'!$B$2:$B$231,MATCH(B24,'Project Classifications'!$A$2:$A$231,0)),"")</f>
        <v>Interviews Regarding Data Curation for Qualitative Data Reuse and Big Social Research</v>
      </c>
      <c r="D24" s="8" t="s">
        <v>587</v>
      </c>
      <c r="E24" s="8" t="s">
        <v>574</v>
      </c>
      <c r="F24" s="8" t="s">
        <v>53</v>
      </c>
      <c r="G24" s="8" t="s">
        <v>55</v>
      </c>
      <c r="H24" s="8" t="s">
        <v>56</v>
      </c>
      <c r="I24" s="9" t="n">
        <v>0.428571428571429</v>
      </c>
      <c r="J24" s="8" t="s">
        <v>33</v>
      </c>
    </row>
    <row r="25" customFormat="false" ht="15" hidden="false" customHeight="false" outlineLevel="0" collapsed="false">
      <c r="A25" s="8" t="n">
        <v>118</v>
      </c>
      <c r="B25" s="8" t="n">
        <v>3</v>
      </c>
      <c r="C25" s="8" t="str">
        <f aca="false">IFERROR(INDEX('Project Classifications'!$B$2:$B$231,MATCH(B25,'Project Classifications'!$A$2:$A$231,0)),"")</f>
        <v>Data for: Exercise experiences in patients with metastatic lung cancer: A qualitative approach</v>
      </c>
      <c r="D25" s="8" t="s">
        <v>588</v>
      </c>
      <c r="E25" s="8" t="s">
        <v>574</v>
      </c>
      <c r="F25" s="8" t="s">
        <v>42</v>
      </c>
      <c r="G25" s="8" t="s">
        <v>44</v>
      </c>
      <c r="H25" s="8" t="s">
        <v>45</v>
      </c>
      <c r="I25" s="9" t="n">
        <v>0.333333333333333</v>
      </c>
      <c r="J25" s="8" t="s">
        <v>33</v>
      </c>
    </row>
    <row r="26" customFormat="false" ht="15" hidden="false" customHeight="false" outlineLevel="0" collapsed="false">
      <c r="A26" s="8" t="n">
        <v>119</v>
      </c>
      <c r="B26" s="8" t="n">
        <v>4</v>
      </c>
      <c r="C26" s="8" t="str">
        <f aca="false">IFERROR(INDEX('Project Classifications'!$B$2:$B$231,MATCH(B26,'Project Classifications'!$A$2:$A$231,0)),"")</f>
        <v>Data for: Teaching with Shared Data for Learning Qualitative Data Analysis: A Multi-Sited Case Study of Instructor and Student Experiences</v>
      </c>
      <c r="D26" s="8" t="s">
        <v>589</v>
      </c>
      <c r="E26" s="8" t="s">
        <v>562</v>
      </c>
      <c r="F26" s="8" t="s">
        <v>48</v>
      </c>
      <c r="G26" s="8" t="s">
        <v>50</v>
      </c>
      <c r="H26" s="8" t="s">
        <v>49</v>
      </c>
      <c r="I26" s="9" t="n">
        <v>0.3125</v>
      </c>
      <c r="J26" s="8" t="s">
        <v>33</v>
      </c>
    </row>
    <row r="27" customFormat="false" ht="15" hidden="false" customHeight="false" outlineLevel="0" collapsed="false">
      <c r="A27" s="8" t="n">
        <v>120</v>
      </c>
      <c r="B27" s="8" t="n">
        <v>4</v>
      </c>
      <c r="C27" s="8" t="str">
        <f aca="false">IFERROR(INDEX('Project Classifications'!$B$2:$B$231,MATCH(B27,'Project Classifications'!$A$2:$A$231,0)),"")</f>
        <v>Data for: Teaching with Shared Data for Learning Qualitative Data Analysis: A Multi-Sited Case Study of Instructor and Student Experiences</v>
      </c>
      <c r="D27" s="8" t="s">
        <v>590</v>
      </c>
      <c r="E27" s="8" t="s">
        <v>562</v>
      </c>
      <c r="F27" s="8" t="s">
        <v>48</v>
      </c>
      <c r="G27" s="8" t="s">
        <v>50</v>
      </c>
      <c r="H27" s="8" t="s">
        <v>49</v>
      </c>
      <c r="I27" s="9" t="n">
        <v>0.3125</v>
      </c>
      <c r="J27" s="8" t="s">
        <v>33</v>
      </c>
    </row>
    <row r="28" customFormat="false" ht="15" hidden="false" customHeight="false" outlineLevel="0" collapsed="false">
      <c r="A28" s="8" t="n">
        <v>121</v>
      </c>
      <c r="B28" s="8" t="n">
        <v>4</v>
      </c>
      <c r="C28" s="8" t="str">
        <f aca="false">IFERROR(INDEX('Project Classifications'!$B$2:$B$231,MATCH(B28,'Project Classifications'!$A$2:$A$231,0)),"")</f>
        <v>Data for: Teaching with Shared Data for Learning Qualitative Data Analysis: A Multi-Sited Case Study of Instructor and Student Experiences</v>
      </c>
      <c r="D28" s="8" t="s">
        <v>591</v>
      </c>
      <c r="E28" s="8" t="s">
        <v>562</v>
      </c>
      <c r="F28" s="8" t="s">
        <v>48</v>
      </c>
      <c r="G28" s="8" t="s">
        <v>50</v>
      </c>
      <c r="H28" s="8" t="s">
        <v>49</v>
      </c>
      <c r="I28" s="9" t="n">
        <v>0.4375</v>
      </c>
      <c r="J28" s="8" t="s">
        <v>33</v>
      </c>
    </row>
    <row r="29" customFormat="false" ht="15" hidden="false" customHeight="false" outlineLevel="0" collapsed="false">
      <c r="A29" s="8" t="n">
        <v>122</v>
      </c>
      <c r="B29" s="8" t="n">
        <v>4</v>
      </c>
      <c r="C29" s="8" t="str">
        <f aca="false">IFERROR(INDEX('Project Classifications'!$B$2:$B$231,MATCH(B29,'Project Classifications'!$A$2:$A$231,0)),"")</f>
        <v>Data for: Teaching with Shared Data for Learning Qualitative Data Analysis: A Multi-Sited Case Study of Instructor and Student Experiences</v>
      </c>
      <c r="D29" s="8" t="s">
        <v>592</v>
      </c>
      <c r="E29" s="8" t="s">
        <v>562</v>
      </c>
      <c r="F29" s="8" t="s">
        <v>48</v>
      </c>
      <c r="G29" s="8" t="s">
        <v>50</v>
      </c>
      <c r="H29" s="8" t="s">
        <v>49</v>
      </c>
      <c r="I29" s="9" t="n">
        <v>0.5625</v>
      </c>
      <c r="J29" s="8" t="s">
        <v>33</v>
      </c>
    </row>
    <row r="30" customFormat="false" ht="15" hidden="false" customHeight="false" outlineLevel="0" collapsed="false">
      <c r="A30" s="8" t="n">
        <v>123</v>
      </c>
      <c r="B30" s="8" t="n">
        <v>4</v>
      </c>
      <c r="C30" s="8" t="str">
        <f aca="false">IFERROR(INDEX('Project Classifications'!$B$2:$B$231,MATCH(B30,'Project Classifications'!$A$2:$A$231,0)),"")</f>
        <v>Data for: Teaching with Shared Data for Learning Qualitative Data Analysis: A Multi-Sited Case Study of Instructor and Student Experiences</v>
      </c>
      <c r="D30" s="8" t="s">
        <v>593</v>
      </c>
      <c r="E30" s="8" t="s">
        <v>562</v>
      </c>
      <c r="F30" s="8" t="s">
        <v>48</v>
      </c>
      <c r="G30" s="8" t="s">
        <v>50</v>
      </c>
      <c r="H30" s="8" t="s">
        <v>49</v>
      </c>
      <c r="I30" s="9" t="n">
        <v>0.0625</v>
      </c>
      <c r="J30" s="8" t="s">
        <v>33</v>
      </c>
    </row>
    <row r="31" customFormat="false" ht="15" hidden="false" customHeight="false" outlineLevel="0" collapsed="false">
      <c r="A31" s="8" t="n">
        <v>124</v>
      </c>
      <c r="B31" s="8" t="n">
        <v>4</v>
      </c>
      <c r="C31" s="8" t="str">
        <f aca="false">IFERROR(INDEX('Project Classifications'!$B$2:$B$231,MATCH(B31,'Project Classifications'!$A$2:$A$231,0)),"")</f>
        <v>Data for: Teaching with Shared Data for Learning Qualitative Data Analysis: A Multi-Sited Case Study of Instructor and Student Experiences</v>
      </c>
      <c r="D31" s="8" t="s">
        <v>594</v>
      </c>
      <c r="E31" s="8" t="s">
        <v>562</v>
      </c>
      <c r="F31" s="8" t="s">
        <v>48</v>
      </c>
      <c r="G31" s="8" t="s">
        <v>50</v>
      </c>
      <c r="H31" s="8" t="s">
        <v>49</v>
      </c>
      <c r="I31" s="9" t="n">
        <v>0.0625</v>
      </c>
      <c r="J31" s="8" t="s">
        <v>33</v>
      </c>
    </row>
    <row r="32" customFormat="false" ht="15" hidden="false" customHeight="false" outlineLevel="0" collapsed="false">
      <c r="A32" s="8" t="n">
        <v>125</v>
      </c>
      <c r="B32" s="8" t="n">
        <v>4</v>
      </c>
      <c r="C32" s="8" t="str">
        <f aca="false">IFERROR(INDEX('Project Classifications'!$B$2:$B$231,MATCH(B32,'Project Classifications'!$A$2:$A$231,0)),"")</f>
        <v>Data for: Teaching with Shared Data for Learning Qualitative Data Analysis: A Multi-Sited Case Study of Instructor and Student Experiences</v>
      </c>
      <c r="D32" s="8" t="s">
        <v>595</v>
      </c>
      <c r="E32" s="8" t="s">
        <v>562</v>
      </c>
      <c r="F32" s="8" t="s">
        <v>48</v>
      </c>
      <c r="G32" s="8" t="s">
        <v>50</v>
      </c>
      <c r="H32" s="8" t="s">
        <v>49</v>
      </c>
      <c r="I32" s="9" t="n">
        <v>0.1875</v>
      </c>
      <c r="J32" s="8" t="s">
        <v>33</v>
      </c>
    </row>
    <row r="33" customFormat="false" ht="15" hidden="false" customHeight="false" outlineLevel="0" collapsed="false">
      <c r="A33" s="8" t="n">
        <v>135</v>
      </c>
      <c r="B33" s="8" t="n">
        <v>4</v>
      </c>
      <c r="C33" s="8" t="str">
        <f aca="false">IFERROR(INDEX('Project Classifications'!$B$2:$B$231,MATCH(B33,'Project Classifications'!$A$2:$A$231,0)),"")</f>
        <v>Data for: Teaching with Shared Data for Learning Qualitative Data Analysis: A Multi-Sited Case Study of Instructor and Student Experiences</v>
      </c>
      <c r="D33" s="8" t="s">
        <v>596</v>
      </c>
      <c r="E33" s="8" t="s">
        <v>574</v>
      </c>
      <c r="F33" s="8" t="s">
        <v>48</v>
      </c>
      <c r="G33" s="8" t="s">
        <v>50</v>
      </c>
      <c r="H33" s="8" t="s">
        <v>49</v>
      </c>
      <c r="I33" s="9" t="n">
        <v>0.25</v>
      </c>
      <c r="J33" s="8" t="s">
        <v>33</v>
      </c>
    </row>
    <row r="34" customFormat="false" ht="15" hidden="false" customHeight="false" outlineLevel="0" collapsed="false">
      <c r="A34" s="8" t="n">
        <v>136</v>
      </c>
      <c r="B34" s="8" t="n">
        <v>5</v>
      </c>
      <c r="C34" s="8" t="str">
        <f aca="false">IFERROR(INDEX('Project Classifications'!$B$2:$B$231,MATCH(B34,'Project Classifications'!$A$2:$A$231,0)),"")</f>
        <v>Data for: Qualitative Data Sharing: Participant Understanding, Motivation, and Consent</v>
      </c>
      <c r="D34" s="8" t="s">
        <v>597</v>
      </c>
      <c r="E34" s="8" t="s">
        <v>574</v>
      </c>
      <c r="F34" s="8" t="s">
        <v>53</v>
      </c>
      <c r="G34" s="8" t="s">
        <v>55</v>
      </c>
      <c r="H34" s="8" t="s">
        <v>56</v>
      </c>
      <c r="I34" s="9" t="n">
        <v>0.285714285714286</v>
      </c>
      <c r="J34" s="8" t="s">
        <v>33</v>
      </c>
    </row>
    <row r="35" customFormat="false" ht="15" hidden="false" customHeight="false" outlineLevel="0" collapsed="false">
      <c r="A35" s="8" t="n">
        <v>137</v>
      </c>
      <c r="B35" s="8" t="n">
        <v>5</v>
      </c>
      <c r="C35" s="8" t="str">
        <f aca="false">IFERROR(INDEX('Project Classifications'!$B$2:$B$231,MATCH(B35,'Project Classifications'!$A$2:$A$231,0)),"")</f>
        <v>Data for: Qualitative Data Sharing: Participant Understanding, Motivation, and Consent</v>
      </c>
      <c r="D35" s="8" t="s">
        <v>598</v>
      </c>
      <c r="E35" s="8" t="s">
        <v>562</v>
      </c>
      <c r="F35" s="8" t="s">
        <v>42</v>
      </c>
      <c r="G35" s="8" t="s">
        <v>44</v>
      </c>
      <c r="H35" s="8" t="s">
        <v>45</v>
      </c>
      <c r="I35" s="9" t="n">
        <v>0.0555555555555556</v>
      </c>
      <c r="J35" s="8" t="s">
        <v>33</v>
      </c>
    </row>
    <row r="36" customFormat="false" ht="15" hidden="false" customHeight="false" outlineLevel="0" collapsed="false">
      <c r="A36" s="8" t="n">
        <v>138</v>
      </c>
      <c r="B36" s="8" t="n">
        <v>5</v>
      </c>
      <c r="C36" s="8" t="str">
        <f aca="false">IFERROR(INDEX('Project Classifications'!$B$2:$B$231,MATCH(B36,'Project Classifications'!$A$2:$A$231,0)),"")</f>
        <v>Data for: Qualitative Data Sharing: Participant Understanding, Motivation, and Consent</v>
      </c>
      <c r="D36" s="8" t="s">
        <v>599</v>
      </c>
      <c r="E36" s="8" t="s">
        <v>600</v>
      </c>
      <c r="F36" s="8" t="s">
        <v>42</v>
      </c>
      <c r="G36" s="8" t="s">
        <v>44</v>
      </c>
      <c r="H36" s="8" t="s">
        <v>45</v>
      </c>
      <c r="I36" s="9" t="n">
        <v>0.0555555555555556</v>
      </c>
      <c r="J36" s="8" t="s">
        <v>33</v>
      </c>
    </row>
    <row r="37" customFormat="false" ht="15" hidden="false" customHeight="false" outlineLevel="0" collapsed="false">
      <c r="A37" s="8" t="n">
        <v>140</v>
      </c>
      <c r="B37" s="8" t="n">
        <v>5</v>
      </c>
      <c r="C37" s="8" t="str">
        <f aca="false">IFERROR(INDEX('Project Classifications'!$B$2:$B$231,MATCH(B37,'Project Classifications'!$A$2:$A$231,0)),"")</f>
        <v>Data for: Qualitative Data Sharing: Participant Understanding, Motivation, and Consent</v>
      </c>
      <c r="D37" s="8" t="s">
        <v>601</v>
      </c>
      <c r="E37" s="8" t="s">
        <v>562</v>
      </c>
      <c r="F37" s="8" t="s">
        <v>42</v>
      </c>
      <c r="G37" s="8" t="s">
        <v>44</v>
      </c>
      <c r="H37" s="8" t="s">
        <v>45</v>
      </c>
      <c r="I37" s="9" t="n">
        <v>0.166666666666667</v>
      </c>
      <c r="J37" s="8" t="s">
        <v>33</v>
      </c>
    </row>
    <row r="38" customFormat="false" ht="15" hidden="false" customHeight="false" outlineLevel="0" collapsed="false">
      <c r="A38" s="8" t="n">
        <v>141</v>
      </c>
      <c r="B38" s="8" t="n">
        <v>6</v>
      </c>
      <c r="C38" s="8" t="str">
        <f aca="false">IFERROR(INDEX('Project Classifications'!$B$2:$B$231,MATCH(B38,'Project Classifications'!$A$2:$A$231,0)),"")</f>
        <v>Data for: 'Perceptions on Ethical Considerations on the Conduct of Research During Disease Outbreaks in Nigeria by Policymakers and Ethicists'</v>
      </c>
      <c r="D38" s="8" t="s">
        <v>602</v>
      </c>
      <c r="E38" s="8" t="s">
        <v>574</v>
      </c>
      <c r="F38" s="8" t="s">
        <v>53</v>
      </c>
      <c r="G38" s="8" t="s">
        <v>55</v>
      </c>
      <c r="H38" s="8" t="s">
        <v>56</v>
      </c>
      <c r="I38" s="9" t="n">
        <v>0.285714285714286</v>
      </c>
      <c r="J38" s="8" t="s">
        <v>33</v>
      </c>
    </row>
    <row r="39" customFormat="false" ht="15" hidden="false" customHeight="false" outlineLevel="0" collapsed="false">
      <c r="A39" s="8" t="n">
        <v>142</v>
      </c>
      <c r="B39" s="8" t="n">
        <v>6</v>
      </c>
      <c r="C39" s="8" t="str">
        <f aca="false">IFERROR(INDEX('Project Classifications'!$B$2:$B$231,MATCH(B39,'Project Classifications'!$A$2:$A$231,0)),"")</f>
        <v>Data for: 'Perceptions on Ethical Considerations on the Conduct of Research During Disease Outbreaks in Nigeria by Policymakers and Ethicists'</v>
      </c>
      <c r="D39" s="8" t="s">
        <v>603</v>
      </c>
      <c r="E39" s="8" t="s">
        <v>562</v>
      </c>
      <c r="F39" s="8" t="s">
        <v>42</v>
      </c>
      <c r="G39" s="8" t="s">
        <v>44</v>
      </c>
      <c r="H39" s="8" t="s">
        <v>45</v>
      </c>
      <c r="I39" s="9" t="n">
        <v>0.166666666666667</v>
      </c>
      <c r="J39" s="8" t="s">
        <v>33</v>
      </c>
    </row>
    <row r="40" customFormat="false" ht="15" hidden="false" customHeight="false" outlineLevel="0" collapsed="false">
      <c r="A40" s="8" t="n">
        <v>143</v>
      </c>
      <c r="B40" s="8" t="n">
        <v>6</v>
      </c>
      <c r="C40" s="8" t="str">
        <f aca="false">IFERROR(INDEX('Project Classifications'!$B$2:$B$231,MATCH(B40,'Project Classifications'!$A$2:$A$231,0)),"")</f>
        <v>Data for: 'Perceptions on Ethical Considerations on the Conduct of Research During Disease Outbreaks in Nigeria by Policymakers and Ethicists'</v>
      </c>
      <c r="D40" s="8" t="s">
        <v>604</v>
      </c>
      <c r="E40" s="8" t="s">
        <v>562</v>
      </c>
      <c r="F40" s="8" t="s">
        <v>42</v>
      </c>
      <c r="G40" s="8" t="s">
        <v>44</v>
      </c>
      <c r="H40" s="8" t="s">
        <v>45</v>
      </c>
      <c r="I40" s="9" t="n">
        <v>0.111111111111111</v>
      </c>
      <c r="J40" s="8" t="s">
        <v>33</v>
      </c>
    </row>
    <row r="41" customFormat="false" ht="15" hidden="false" customHeight="false" outlineLevel="0" collapsed="false">
      <c r="A41" s="8" t="n">
        <v>144</v>
      </c>
      <c r="B41" s="8" t="n">
        <v>6</v>
      </c>
      <c r="C41" s="8" t="str">
        <f aca="false">IFERROR(INDEX('Project Classifications'!$B$2:$B$231,MATCH(B41,'Project Classifications'!$A$2:$A$231,0)),"")</f>
        <v>Data for: 'Perceptions on Ethical Considerations on the Conduct of Research During Disease Outbreaks in Nigeria by Policymakers and Ethicists'</v>
      </c>
      <c r="D41" s="8" t="s">
        <v>605</v>
      </c>
      <c r="E41" s="8" t="s">
        <v>562</v>
      </c>
      <c r="F41" s="8" t="s">
        <v>42</v>
      </c>
      <c r="G41" s="8" t="s">
        <v>44</v>
      </c>
      <c r="H41" s="8" t="s">
        <v>45</v>
      </c>
      <c r="I41" s="9" t="n">
        <v>0.111111111111111</v>
      </c>
      <c r="J41" s="8" t="s">
        <v>33</v>
      </c>
    </row>
    <row r="42" customFormat="false" ht="15" hidden="false" customHeight="false" outlineLevel="0" collapsed="false">
      <c r="A42" s="8" t="n">
        <v>145</v>
      </c>
      <c r="B42" s="8" t="n">
        <v>6</v>
      </c>
      <c r="C42" s="8" t="str">
        <f aca="false">IFERROR(INDEX('Project Classifications'!$B$2:$B$231,MATCH(B42,'Project Classifications'!$A$2:$A$231,0)),"")</f>
        <v>Data for: 'Perceptions on Ethical Considerations on the Conduct of Research During Disease Outbreaks in Nigeria by Policymakers and Ethicists'</v>
      </c>
      <c r="D42" s="8" t="s">
        <v>606</v>
      </c>
      <c r="E42" s="8" t="s">
        <v>562</v>
      </c>
      <c r="F42" s="8" t="s">
        <v>42</v>
      </c>
      <c r="G42" s="8" t="s">
        <v>44</v>
      </c>
      <c r="H42" s="8" t="s">
        <v>45</v>
      </c>
      <c r="I42" s="9" t="n">
        <v>0.166666666666667</v>
      </c>
      <c r="J42" s="8" t="s">
        <v>33</v>
      </c>
    </row>
    <row r="43" customFormat="false" ht="15" hidden="false" customHeight="false" outlineLevel="0" collapsed="false">
      <c r="A43" s="8" t="n">
        <v>230</v>
      </c>
      <c r="B43" s="8" t="n">
        <v>10</v>
      </c>
      <c r="C43" s="8" t="str">
        <f aca="false">IFERROR(INDEX('Project Classifications'!$B$2:$B$231,MATCH(B43,'Project Classifications'!$A$2:$A$231,0)),"")</f>
        <v>Optimizing Openness in Human Participants Research: Harmonizing Standards for Consent Agreements and Data Management Plans to Empower the Reuse of Sensitive Scientific Data</v>
      </c>
      <c r="D43" s="8" t="s">
        <v>607</v>
      </c>
      <c r="E43" s="8" t="s">
        <v>562</v>
      </c>
      <c r="F43" s="8" t="s">
        <v>48</v>
      </c>
      <c r="G43" s="8" t="s">
        <v>50</v>
      </c>
      <c r="H43" s="8" t="s">
        <v>49</v>
      </c>
      <c r="I43" s="9" t="n">
        <v>0.125</v>
      </c>
      <c r="J43" s="8" t="s">
        <v>33</v>
      </c>
    </row>
    <row r="44" customFormat="false" ht="15" hidden="false" customHeight="false" outlineLevel="0" collapsed="false">
      <c r="A44" s="8" t="n">
        <v>231</v>
      </c>
      <c r="B44" s="8" t="n">
        <v>10</v>
      </c>
      <c r="C44" s="8" t="str">
        <f aca="false">IFERROR(INDEX('Project Classifications'!$B$2:$B$231,MATCH(B44,'Project Classifications'!$A$2:$A$231,0)),"")</f>
        <v>Optimizing Openness in Human Participants Research: Harmonizing Standards for Consent Agreements and Data Management Plans to Empower the Reuse of Sensitive Scientific Data</v>
      </c>
      <c r="D44" s="8" t="s">
        <v>608</v>
      </c>
      <c r="E44" s="8" t="s">
        <v>562</v>
      </c>
      <c r="F44" s="8" t="s">
        <v>48</v>
      </c>
      <c r="G44" s="8" t="s">
        <v>50</v>
      </c>
      <c r="H44" s="8" t="s">
        <v>49</v>
      </c>
      <c r="I44" s="9" t="n">
        <v>0.25</v>
      </c>
      <c r="J44" s="8" t="s">
        <v>33</v>
      </c>
    </row>
    <row r="45" customFormat="false" ht="15" hidden="false" customHeight="false" outlineLevel="0" collapsed="false">
      <c r="A45" s="8" t="n">
        <v>232</v>
      </c>
      <c r="B45" s="8" t="n">
        <v>10</v>
      </c>
      <c r="C45" s="8" t="str">
        <f aca="false">IFERROR(INDEX('Project Classifications'!$B$2:$B$231,MATCH(B45,'Project Classifications'!$A$2:$A$231,0)),"")</f>
        <v>Optimizing Openness in Human Participants Research: Harmonizing Standards for Consent Agreements and Data Management Plans to Empower the Reuse of Sensitive Scientific Data</v>
      </c>
      <c r="D45" s="8" t="s">
        <v>609</v>
      </c>
      <c r="E45" s="8" t="s">
        <v>562</v>
      </c>
      <c r="F45" s="8" t="s">
        <v>71</v>
      </c>
      <c r="G45" s="8" t="s">
        <v>73</v>
      </c>
      <c r="H45" s="8" t="s">
        <v>74</v>
      </c>
      <c r="I45" s="9" t="n">
        <v>0.214285714285714</v>
      </c>
      <c r="J45" s="8" t="s">
        <v>33</v>
      </c>
    </row>
    <row r="46" customFormat="false" ht="15" hidden="false" customHeight="false" outlineLevel="0" collapsed="false">
      <c r="A46" s="8" t="n">
        <v>233</v>
      </c>
      <c r="B46" s="8" t="n">
        <v>10</v>
      </c>
      <c r="C46" s="8" t="str">
        <f aca="false">IFERROR(INDEX('Project Classifications'!$B$2:$B$231,MATCH(B46,'Project Classifications'!$A$2:$A$231,0)),"")</f>
        <v>Optimizing Openness in Human Participants Research: Harmonizing Standards for Consent Agreements and Data Management Plans to Empower the Reuse of Sensitive Scientific Data</v>
      </c>
      <c r="D46" s="8" t="s">
        <v>610</v>
      </c>
      <c r="E46" s="8" t="s">
        <v>562</v>
      </c>
      <c r="F46" s="8" t="s">
        <v>48</v>
      </c>
      <c r="G46" s="8" t="s">
        <v>50</v>
      </c>
      <c r="H46" s="8" t="s">
        <v>49</v>
      </c>
      <c r="I46" s="9" t="n">
        <v>0.1875</v>
      </c>
      <c r="J46" s="8" t="s">
        <v>33</v>
      </c>
    </row>
    <row r="47" customFormat="false" ht="15" hidden="false" customHeight="false" outlineLevel="0" collapsed="false">
      <c r="A47" s="8" t="n">
        <v>234</v>
      </c>
      <c r="B47" s="8" t="n">
        <v>10</v>
      </c>
      <c r="C47" s="8" t="str">
        <f aca="false">IFERROR(INDEX('Project Classifications'!$B$2:$B$231,MATCH(B47,'Project Classifications'!$A$2:$A$231,0)),"")</f>
        <v>Optimizing Openness in Human Participants Research: Harmonizing Standards for Consent Agreements and Data Management Plans to Empower the Reuse of Sensitive Scientific Data</v>
      </c>
      <c r="D47" s="8" t="s">
        <v>611</v>
      </c>
      <c r="E47" s="8" t="s">
        <v>562</v>
      </c>
      <c r="F47" s="8" t="s">
        <v>53</v>
      </c>
      <c r="G47" s="8" t="s">
        <v>55</v>
      </c>
      <c r="H47" s="8" t="s">
        <v>56</v>
      </c>
      <c r="I47" s="9" t="n">
        <v>0.142857142857143</v>
      </c>
      <c r="J47" s="8" t="s">
        <v>33</v>
      </c>
    </row>
    <row r="48" customFormat="false" ht="15" hidden="false" customHeight="false" outlineLevel="0" collapsed="false">
      <c r="A48" s="8" t="n">
        <v>237</v>
      </c>
      <c r="B48" s="8" t="n">
        <v>10</v>
      </c>
      <c r="C48" s="8" t="str">
        <f aca="false">IFERROR(INDEX('Project Classifications'!$B$2:$B$231,MATCH(B48,'Project Classifications'!$A$2:$A$231,0)),"")</f>
        <v>Optimizing Openness in Human Participants Research: Harmonizing Standards for Consent Agreements and Data Management Plans to Empower the Reuse of Sensitive Scientific Data</v>
      </c>
      <c r="D48" s="8" t="s">
        <v>612</v>
      </c>
      <c r="E48" s="8" t="s">
        <v>574</v>
      </c>
      <c r="F48" s="8" t="s">
        <v>53</v>
      </c>
      <c r="G48" s="8" t="s">
        <v>55</v>
      </c>
      <c r="H48" s="8" t="s">
        <v>56</v>
      </c>
      <c r="I48" s="9" t="n">
        <v>0.285714285714286</v>
      </c>
      <c r="J48" s="8" t="s">
        <v>33</v>
      </c>
    </row>
    <row r="49" customFormat="false" ht="15" hidden="false" customHeight="false" outlineLevel="0" collapsed="false">
      <c r="A49" s="8" t="n">
        <v>241</v>
      </c>
      <c r="B49" s="8" t="n">
        <v>11</v>
      </c>
      <c r="C49" s="8" t="str">
        <f aca="false">IFERROR(INDEX('Project Classifications'!$B$2:$B$231,MATCH(B49,'Project Classifications'!$A$2:$A$231,0)),"")</f>
        <v>Data for: Fostering Undergraduate Self-Confidence and Community in Solar/Astro-Physics: The Impact of Research Experiences and Public Outreach</v>
      </c>
      <c r="D49" s="8" t="s">
        <v>613</v>
      </c>
      <c r="E49" s="8" t="s">
        <v>562</v>
      </c>
      <c r="F49" s="8" t="s">
        <v>48</v>
      </c>
      <c r="G49" s="8" t="s">
        <v>50</v>
      </c>
      <c r="H49" s="8" t="s">
        <v>49</v>
      </c>
      <c r="I49" s="9" t="n">
        <v>0.1875</v>
      </c>
      <c r="J49" s="8" t="s">
        <v>33</v>
      </c>
    </row>
    <row r="50" customFormat="false" ht="15" hidden="false" customHeight="false" outlineLevel="0" collapsed="false">
      <c r="A50" s="8" t="n">
        <v>250</v>
      </c>
      <c r="B50" s="8" t="n">
        <v>11</v>
      </c>
      <c r="C50" s="8" t="str">
        <f aca="false">IFERROR(INDEX('Project Classifications'!$B$2:$B$231,MATCH(B50,'Project Classifications'!$A$2:$A$231,0)),"")</f>
        <v>Data for: Fostering Undergraduate Self-Confidence and Community in Solar/Astro-Physics: The Impact of Research Experiences and Public Outreach</v>
      </c>
      <c r="D50" s="8" t="s">
        <v>614</v>
      </c>
      <c r="E50" s="8" t="s">
        <v>562</v>
      </c>
      <c r="F50" s="8" t="s">
        <v>48</v>
      </c>
      <c r="G50" s="8" t="s">
        <v>50</v>
      </c>
      <c r="H50" s="8" t="s">
        <v>49</v>
      </c>
      <c r="I50" s="9" t="n">
        <v>0.1875</v>
      </c>
      <c r="J50" s="8" t="s">
        <v>33</v>
      </c>
    </row>
    <row r="51" customFormat="false" ht="15" hidden="false" customHeight="false" outlineLevel="0" collapsed="false">
      <c r="A51" s="8" t="n">
        <v>251</v>
      </c>
      <c r="B51" s="8" t="n">
        <v>11</v>
      </c>
      <c r="C51" s="8" t="str">
        <f aca="false">IFERROR(INDEX('Project Classifications'!$B$2:$B$231,MATCH(B51,'Project Classifications'!$A$2:$A$231,0)),"")</f>
        <v>Data for: Fostering Undergraduate Self-Confidence and Community in Solar/Astro-Physics: The Impact of Research Experiences and Public Outreach</v>
      </c>
      <c r="D51" s="8" t="s">
        <v>615</v>
      </c>
      <c r="E51" s="8" t="s">
        <v>574</v>
      </c>
      <c r="F51" s="8" t="s">
        <v>53</v>
      </c>
      <c r="G51" s="8" t="s">
        <v>55</v>
      </c>
      <c r="H51" s="8" t="s">
        <v>56</v>
      </c>
      <c r="I51" s="9" t="n">
        <v>0.285714285714286</v>
      </c>
      <c r="J51" s="8" t="s">
        <v>33</v>
      </c>
    </row>
    <row r="52" customFormat="false" ht="15" hidden="false" customHeight="false" outlineLevel="0" collapsed="false">
      <c r="A52" s="8" t="n">
        <v>450</v>
      </c>
      <c r="B52" s="8" t="n">
        <v>13</v>
      </c>
      <c r="C52" s="8" t="str">
        <f aca="false">IFERROR(INDEX('Project Classifications'!$B$2:$B$231,MATCH(B52,'Project Classifications'!$A$2:$A$231,0)),"")</f>
        <v>Data for: A Qualitative Study of Knowledge, Attitude and Perceptions towards Malaria Prevention among People Living in Rural Upper River Valleys of Nepal</v>
      </c>
      <c r="D52" s="8" t="s">
        <v>616</v>
      </c>
      <c r="E52" s="8" t="s">
        <v>562</v>
      </c>
      <c r="F52" s="8" t="s">
        <v>71</v>
      </c>
      <c r="G52" s="8" t="s">
        <v>83</v>
      </c>
      <c r="H52" s="8" t="s">
        <v>84</v>
      </c>
      <c r="I52" s="9" t="n">
        <v>0.25</v>
      </c>
      <c r="J52" s="8" t="s">
        <v>33</v>
      </c>
    </row>
    <row r="53" customFormat="false" ht="15" hidden="false" customHeight="false" outlineLevel="0" collapsed="false">
      <c r="A53" s="8" t="n">
        <v>476</v>
      </c>
      <c r="B53" s="8" t="n">
        <v>13</v>
      </c>
      <c r="C53" s="8" t="str">
        <f aca="false">IFERROR(INDEX('Project Classifications'!$B$2:$B$231,MATCH(B53,'Project Classifications'!$A$2:$A$231,0)),"")</f>
        <v>Data for: A Qualitative Study of Knowledge, Attitude and Perceptions towards Malaria Prevention among People Living in Rural Upper River Valleys of Nepal</v>
      </c>
      <c r="D53" s="8" t="s">
        <v>617</v>
      </c>
      <c r="E53" s="8" t="s">
        <v>574</v>
      </c>
      <c r="F53" s="8" t="s">
        <v>42</v>
      </c>
      <c r="G53" s="8" t="s">
        <v>44</v>
      </c>
      <c r="H53" s="8" t="s">
        <v>45</v>
      </c>
      <c r="I53" s="9" t="n">
        <v>0.222222222222222</v>
      </c>
      <c r="J53" s="8" t="s">
        <v>33</v>
      </c>
    </row>
    <row r="54" customFormat="false" ht="15" hidden="false" customHeight="false" outlineLevel="0" collapsed="false">
      <c r="A54" s="8" t="n">
        <v>619</v>
      </c>
      <c r="B54" s="8" t="n">
        <v>17</v>
      </c>
      <c r="C54" s="8" t="str">
        <f aca="false">IFERROR(INDEX('Project Classifications'!$B$2:$B$231,MATCH(B54,'Project Classifications'!$A$2:$A$231,0)),"")</f>
        <v>Advance Care Planning in Hospice Organizations: A Qualitative Pilot Study</v>
      </c>
      <c r="D54" s="8" t="s">
        <v>618</v>
      </c>
      <c r="E54" s="8" t="s">
        <v>562</v>
      </c>
      <c r="F54" s="8" t="s">
        <v>42</v>
      </c>
      <c r="G54" s="8" t="s">
        <v>44</v>
      </c>
      <c r="H54" s="8" t="s">
        <v>45</v>
      </c>
      <c r="I54" s="9" t="n">
        <v>0.166666666666667</v>
      </c>
      <c r="J54" s="8" t="s">
        <v>33</v>
      </c>
    </row>
    <row r="55" customFormat="false" ht="15" hidden="false" customHeight="false" outlineLevel="0" collapsed="false">
      <c r="A55" s="8" t="n">
        <v>620</v>
      </c>
      <c r="B55" s="8" t="n">
        <v>17</v>
      </c>
      <c r="C55" s="8" t="str">
        <f aca="false">IFERROR(INDEX('Project Classifications'!$B$2:$B$231,MATCH(B55,'Project Classifications'!$A$2:$A$231,0)),"")</f>
        <v>Advance Care Planning in Hospice Organizations: A Qualitative Pilot Study</v>
      </c>
      <c r="D55" s="8" t="s">
        <v>619</v>
      </c>
      <c r="E55" s="8" t="s">
        <v>562</v>
      </c>
      <c r="F55" s="8" t="s">
        <v>42</v>
      </c>
      <c r="G55" s="8" t="s">
        <v>44</v>
      </c>
      <c r="H55" s="8" t="s">
        <v>45</v>
      </c>
      <c r="I55" s="9" t="n">
        <v>0.5</v>
      </c>
      <c r="J55" s="8" t="s">
        <v>33</v>
      </c>
    </row>
    <row r="56" customFormat="false" ht="15" hidden="false" customHeight="false" outlineLevel="0" collapsed="false">
      <c r="A56" s="8" t="n">
        <v>621</v>
      </c>
      <c r="B56" s="8" t="n">
        <v>17</v>
      </c>
      <c r="C56" s="8" t="str">
        <f aca="false">IFERROR(INDEX('Project Classifications'!$B$2:$B$231,MATCH(B56,'Project Classifications'!$A$2:$A$231,0)),"")</f>
        <v>Advance Care Planning in Hospice Organizations: A Qualitative Pilot Study</v>
      </c>
      <c r="D56" s="8" t="s">
        <v>620</v>
      </c>
      <c r="E56" s="8" t="s">
        <v>562</v>
      </c>
      <c r="F56" s="8" t="s">
        <v>42</v>
      </c>
      <c r="G56" s="8" t="s">
        <v>44</v>
      </c>
      <c r="H56" s="8" t="s">
        <v>45</v>
      </c>
      <c r="I56" s="9" t="n">
        <v>0.222222222222222</v>
      </c>
      <c r="J56" s="8" t="s">
        <v>33</v>
      </c>
    </row>
    <row r="57" customFormat="false" ht="15" hidden="false" customHeight="false" outlineLevel="0" collapsed="false">
      <c r="A57" s="8" t="n">
        <v>622</v>
      </c>
      <c r="B57" s="8" t="n">
        <v>17</v>
      </c>
      <c r="C57" s="8" t="str">
        <f aca="false">IFERROR(INDEX('Project Classifications'!$B$2:$B$231,MATCH(B57,'Project Classifications'!$A$2:$A$231,0)),"")</f>
        <v>Advance Care Planning in Hospice Organizations: A Qualitative Pilot Study</v>
      </c>
      <c r="D57" s="8" t="s">
        <v>621</v>
      </c>
      <c r="E57" s="8" t="s">
        <v>562</v>
      </c>
      <c r="F57" s="8" t="s">
        <v>42</v>
      </c>
      <c r="G57" s="8" t="s">
        <v>44</v>
      </c>
      <c r="H57" s="8" t="s">
        <v>45</v>
      </c>
      <c r="I57" s="9" t="n">
        <v>0.166666666666667</v>
      </c>
      <c r="J57" s="8" t="s">
        <v>33</v>
      </c>
    </row>
    <row r="58" customFormat="false" ht="15" hidden="false" customHeight="false" outlineLevel="0" collapsed="false">
      <c r="A58" s="8" t="n">
        <v>623</v>
      </c>
      <c r="B58" s="8" t="n">
        <v>17</v>
      </c>
      <c r="C58" s="8" t="str">
        <f aca="false">IFERROR(INDEX('Project Classifications'!$B$2:$B$231,MATCH(B58,'Project Classifications'!$A$2:$A$231,0)),"")</f>
        <v>Advance Care Planning in Hospice Organizations: A Qualitative Pilot Study</v>
      </c>
      <c r="D58" s="8" t="s">
        <v>622</v>
      </c>
      <c r="E58" s="8" t="s">
        <v>562</v>
      </c>
      <c r="F58" s="8" t="s">
        <v>42</v>
      </c>
      <c r="G58" s="8" t="s">
        <v>44</v>
      </c>
      <c r="H58" s="8" t="s">
        <v>45</v>
      </c>
      <c r="I58" s="9" t="n">
        <v>0.111111111111111</v>
      </c>
      <c r="J58" s="8" t="s">
        <v>33</v>
      </c>
    </row>
    <row r="59" customFormat="false" ht="15" hidden="false" customHeight="false" outlineLevel="0" collapsed="false">
      <c r="A59" s="8" t="n">
        <v>624</v>
      </c>
      <c r="B59" s="8" t="n">
        <v>17</v>
      </c>
      <c r="C59" s="8" t="str">
        <f aca="false">IFERROR(INDEX('Project Classifications'!$B$2:$B$231,MATCH(B59,'Project Classifications'!$A$2:$A$231,0)),"")</f>
        <v>Advance Care Planning in Hospice Organizations: A Qualitative Pilot Study</v>
      </c>
      <c r="D59" s="8" t="s">
        <v>623</v>
      </c>
      <c r="E59" s="8" t="s">
        <v>562</v>
      </c>
      <c r="F59" s="8" t="s">
        <v>48</v>
      </c>
      <c r="G59" s="8" t="s">
        <v>50</v>
      </c>
      <c r="H59" s="8" t="s">
        <v>49</v>
      </c>
      <c r="I59" s="9" t="n">
        <v>0.0625</v>
      </c>
      <c r="J59" s="8" t="s">
        <v>33</v>
      </c>
    </row>
    <row r="60" customFormat="false" ht="15" hidden="false" customHeight="false" outlineLevel="0" collapsed="false">
      <c r="A60" s="8" t="n">
        <v>625</v>
      </c>
      <c r="B60" s="8" t="n">
        <v>17</v>
      </c>
      <c r="C60" s="8" t="str">
        <f aca="false">IFERROR(INDEX('Project Classifications'!$B$2:$B$231,MATCH(B60,'Project Classifications'!$A$2:$A$231,0)),"")</f>
        <v>Advance Care Planning in Hospice Organizations: A Qualitative Pilot Study</v>
      </c>
      <c r="D60" s="8" t="s">
        <v>624</v>
      </c>
      <c r="E60" s="8" t="s">
        <v>562</v>
      </c>
      <c r="F60" s="8" t="s">
        <v>48</v>
      </c>
      <c r="G60" s="8" t="s">
        <v>50</v>
      </c>
      <c r="H60" s="8" t="s">
        <v>49</v>
      </c>
      <c r="I60" s="9" t="n">
        <v>0.0625</v>
      </c>
      <c r="J60" s="8" t="s">
        <v>33</v>
      </c>
    </row>
    <row r="61" customFormat="false" ht="15" hidden="false" customHeight="false" outlineLevel="0" collapsed="false">
      <c r="A61" s="8" t="n">
        <v>626</v>
      </c>
      <c r="B61" s="8" t="n">
        <v>17</v>
      </c>
      <c r="C61" s="8" t="str">
        <f aca="false">IFERROR(INDEX('Project Classifications'!$B$2:$B$231,MATCH(B61,'Project Classifications'!$A$2:$A$231,0)),"")</f>
        <v>Advance Care Planning in Hospice Organizations: A Qualitative Pilot Study</v>
      </c>
      <c r="D61" s="8" t="s">
        <v>625</v>
      </c>
      <c r="E61" s="8" t="s">
        <v>562</v>
      </c>
      <c r="F61" s="8" t="s">
        <v>48</v>
      </c>
      <c r="G61" s="8" t="s">
        <v>50</v>
      </c>
      <c r="H61" s="8" t="s">
        <v>49</v>
      </c>
      <c r="I61" s="9" t="n">
        <v>0.0625</v>
      </c>
      <c r="J61" s="8" t="s">
        <v>33</v>
      </c>
    </row>
    <row r="62" customFormat="false" ht="15" hidden="false" customHeight="false" outlineLevel="0" collapsed="false">
      <c r="A62" s="8" t="n">
        <v>678</v>
      </c>
      <c r="B62" s="8" t="n">
        <v>17</v>
      </c>
      <c r="C62" s="8" t="str">
        <f aca="false">IFERROR(INDEX('Project Classifications'!$B$2:$B$231,MATCH(B62,'Project Classifications'!$A$2:$A$231,0)),"")</f>
        <v>Advance Care Planning in Hospice Organizations: A Qualitative Pilot Study</v>
      </c>
      <c r="D62" s="8" t="s">
        <v>626</v>
      </c>
      <c r="E62" s="8" t="s">
        <v>574</v>
      </c>
      <c r="F62" s="8" t="s">
        <v>53</v>
      </c>
      <c r="G62" s="8" t="s">
        <v>55</v>
      </c>
      <c r="H62" s="8" t="s">
        <v>56</v>
      </c>
      <c r="I62" s="9" t="n">
        <v>0.285714285714286</v>
      </c>
      <c r="J62" s="8" t="s">
        <v>33</v>
      </c>
    </row>
    <row r="63" customFormat="false" ht="15" hidden="false" customHeight="false" outlineLevel="0" collapsed="false">
      <c r="A63" s="8" t="n">
        <v>680</v>
      </c>
      <c r="B63" s="8" t="n">
        <v>18</v>
      </c>
      <c r="C63" s="8" t="str">
        <f aca="false">IFERROR(INDEX('Project Classifications'!$B$2:$B$231,MATCH(B63,'Project Classifications'!$A$2:$A$231,0)),"")</f>
        <v>Data for: Support or Control? Qualitative Interviews with Zambian Women on Male Partner Involvement in HIV Care During and After Pregnancy</v>
      </c>
      <c r="D63" s="8" t="s">
        <v>627</v>
      </c>
      <c r="E63" s="8" t="s">
        <v>574</v>
      </c>
      <c r="F63" s="8" t="s">
        <v>42</v>
      </c>
      <c r="G63" s="8" t="s">
        <v>44</v>
      </c>
      <c r="H63" s="8" t="s">
        <v>45</v>
      </c>
      <c r="I63" s="9" t="n">
        <v>0.222222222222222</v>
      </c>
      <c r="J63" s="8" t="s">
        <v>33</v>
      </c>
    </row>
    <row r="64" customFormat="false" ht="15" hidden="false" customHeight="false" outlineLevel="0" collapsed="false">
      <c r="A64" s="8" t="n">
        <v>681</v>
      </c>
      <c r="B64" s="8" t="n">
        <v>19</v>
      </c>
      <c r="C64" s="8" t="str">
        <f aca="false">IFERROR(INDEX('Project Classifications'!$B$2:$B$231,MATCH(B64,'Project Classifications'!$A$2:$A$231,0)),"")</f>
        <v>Data for: Barriers and Facilitators to Implementation of Mindfulness in Motion for Firefighters and  Emergency Medical Service Providers</v>
      </c>
      <c r="D64" s="8" t="s">
        <v>628</v>
      </c>
      <c r="E64" s="8" t="s">
        <v>574</v>
      </c>
      <c r="F64" s="8" t="s">
        <v>53</v>
      </c>
      <c r="G64" s="8" t="s">
        <v>55</v>
      </c>
      <c r="H64" s="8" t="s">
        <v>56</v>
      </c>
      <c r="I64" s="9" t="n">
        <v>0.285714285714286</v>
      </c>
      <c r="J64" s="8" t="s">
        <v>33</v>
      </c>
    </row>
    <row r="65" customFormat="false" ht="15" hidden="false" customHeight="false" outlineLevel="0" collapsed="false">
      <c r="A65" s="8" t="n">
        <v>682</v>
      </c>
      <c r="B65" s="8" t="n">
        <v>19</v>
      </c>
      <c r="C65" s="8" t="str">
        <f aca="false">IFERROR(INDEX('Project Classifications'!$B$2:$B$231,MATCH(B65,'Project Classifications'!$A$2:$A$231,0)),"")</f>
        <v>Data for: Barriers and Facilitators to Implementation of Mindfulness in Motion for Firefighters and  Emergency Medical Service Providers</v>
      </c>
      <c r="D65" s="8" t="s">
        <v>629</v>
      </c>
      <c r="E65" s="8" t="s">
        <v>562</v>
      </c>
      <c r="F65" s="8" t="s">
        <v>42</v>
      </c>
      <c r="G65" s="8" t="s">
        <v>44</v>
      </c>
      <c r="H65" s="8" t="s">
        <v>45</v>
      </c>
      <c r="I65" s="9" t="n">
        <v>0.111111111111111</v>
      </c>
      <c r="J65" s="8" t="s">
        <v>33</v>
      </c>
    </row>
    <row r="66" customFormat="false" ht="15" hidden="false" customHeight="false" outlineLevel="0" collapsed="false">
      <c r="A66" s="8" t="n">
        <v>683</v>
      </c>
      <c r="B66" s="8" t="n">
        <v>19</v>
      </c>
      <c r="C66" s="8" t="str">
        <f aca="false">IFERROR(INDEX('Project Classifications'!$B$2:$B$231,MATCH(B66,'Project Classifications'!$A$2:$A$231,0)),"")</f>
        <v>Data for: Barriers and Facilitators to Implementation of Mindfulness in Motion for Firefighters and  Emergency Medical Service Providers</v>
      </c>
      <c r="D66" s="8" t="s">
        <v>630</v>
      </c>
      <c r="E66" s="8" t="s">
        <v>562</v>
      </c>
      <c r="F66" s="8" t="s">
        <v>42</v>
      </c>
      <c r="G66" s="8" t="s">
        <v>44</v>
      </c>
      <c r="H66" s="8" t="s">
        <v>45</v>
      </c>
      <c r="I66" s="9" t="n">
        <v>0.111111111111111</v>
      </c>
      <c r="J66" s="8" t="s">
        <v>33</v>
      </c>
    </row>
    <row r="67" customFormat="false" ht="15" hidden="false" customHeight="false" outlineLevel="0" collapsed="false">
      <c r="A67" s="8" t="n">
        <v>684</v>
      </c>
      <c r="B67" s="8" t="n">
        <v>19</v>
      </c>
      <c r="C67" s="8" t="str">
        <f aca="false">IFERROR(INDEX('Project Classifications'!$B$2:$B$231,MATCH(B67,'Project Classifications'!$A$2:$A$231,0)),"")</f>
        <v>Data for: Barriers and Facilitators to Implementation of Mindfulness in Motion for Firefighters and  Emergency Medical Service Providers</v>
      </c>
      <c r="D67" s="8" t="s">
        <v>631</v>
      </c>
      <c r="E67" s="8" t="s">
        <v>562</v>
      </c>
      <c r="F67" s="8" t="s">
        <v>42</v>
      </c>
      <c r="G67" s="8" t="s">
        <v>44</v>
      </c>
      <c r="H67" s="8" t="s">
        <v>45</v>
      </c>
      <c r="I67" s="9" t="n">
        <v>0.166666666666667</v>
      </c>
      <c r="J67" s="8" t="s">
        <v>33</v>
      </c>
    </row>
    <row r="68" customFormat="false" ht="15" hidden="false" customHeight="false" outlineLevel="0" collapsed="false">
      <c r="A68" s="8" t="n">
        <v>685</v>
      </c>
      <c r="B68" s="8" t="n">
        <v>19</v>
      </c>
      <c r="C68" s="8" t="str">
        <f aca="false">IFERROR(INDEX('Project Classifications'!$B$2:$B$231,MATCH(B68,'Project Classifications'!$A$2:$A$231,0)),"")</f>
        <v>Data for: Barriers and Facilitators to Implementation of Mindfulness in Motion for Firefighters and  Emergency Medical Service Providers</v>
      </c>
      <c r="D68" s="8" t="s">
        <v>632</v>
      </c>
      <c r="E68" s="8" t="s">
        <v>562</v>
      </c>
      <c r="F68" s="8" t="s">
        <v>305</v>
      </c>
      <c r="G68" s="8" t="s">
        <v>307</v>
      </c>
      <c r="H68" s="8" t="s">
        <v>306</v>
      </c>
      <c r="I68" s="9" t="n">
        <v>0</v>
      </c>
      <c r="J68" s="8" t="s">
        <v>33</v>
      </c>
    </row>
    <row r="69" customFormat="false" ht="15" hidden="false" customHeight="false" outlineLevel="0" collapsed="false">
      <c r="A69" s="8" t="n">
        <v>697</v>
      </c>
      <c r="B69" s="8" t="n">
        <v>20</v>
      </c>
      <c r="C69" s="8" t="str">
        <f aca="false">IFERROR(INDEX('Project Classifications'!$B$2:$B$231,MATCH(B69,'Project Classifications'!$A$2:$A$231,0)),"")</f>
        <v>Data for: Understanding Sociocultural Influences in Sexual Health Promotion and HIV Protection among Latinx Sexually Minoritized Men: A Qualitative Study</v>
      </c>
      <c r="D69" s="8" t="s">
        <v>633</v>
      </c>
      <c r="E69" s="8" t="s">
        <v>562</v>
      </c>
      <c r="F69" s="8" t="s">
        <v>48</v>
      </c>
      <c r="G69" s="8" t="s">
        <v>50</v>
      </c>
      <c r="H69" s="8" t="s">
        <v>49</v>
      </c>
      <c r="I69" s="9" t="n">
        <v>0.0625</v>
      </c>
      <c r="J69" s="8" t="s">
        <v>33</v>
      </c>
    </row>
    <row r="70" customFormat="false" ht="15" hidden="false" customHeight="false" outlineLevel="0" collapsed="false">
      <c r="A70" s="8" t="n">
        <v>699</v>
      </c>
      <c r="B70" s="8" t="n">
        <v>20</v>
      </c>
      <c r="C70" s="8" t="str">
        <f aca="false">IFERROR(INDEX('Project Classifications'!$B$2:$B$231,MATCH(B70,'Project Classifications'!$A$2:$A$231,0)),"")</f>
        <v>Data for: Understanding Sociocultural Influences in Sexual Health Promotion and HIV Protection among Latinx Sexually Minoritized Men: A Qualitative Study</v>
      </c>
      <c r="D70" s="8" t="s">
        <v>634</v>
      </c>
      <c r="E70" s="8" t="s">
        <v>562</v>
      </c>
      <c r="F70" s="8" t="s">
        <v>97</v>
      </c>
      <c r="G70" s="8" t="s">
        <v>99</v>
      </c>
      <c r="H70" s="8" t="s">
        <v>100</v>
      </c>
      <c r="I70" s="9" t="n">
        <v>0.142857142857143</v>
      </c>
      <c r="J70" s="8" t="s">
        <v>33</v>
      </c>
    </row>
    <row r="71" customFormat="false" ht="15" hidden="false" customHeight="false" outlineLevel="0" collapsed="false">
      <c r="A71" s="8" t="n">
        <v>702</v>
      </c>
      <c r="B71" s="8" t="n">
        <v>20</v>
      </c>
      <c r="C71" s="8" t="str">
        <f aca="false">IFERROR(INDEX('Project Classifications'!$B$2:$B$231,MATCH(B71,'Project Classifications'!$A$2:$A$231,0)),"")</f>
        <v>Data for: Understanding Sociocultural Influences in Sexual Health Promotion and HIV Protection among Latinx Sexually Minoritized Men: A Qualitative Study</v>
      </c>
      <c r="D71" s="8" t="s">
        <v>635</v>
      </c>
      <c r="E71" s="8" t="s">
        <v>562</v>
      </c>
      <c r="F71" s="8" t="s">
        <v>42</v>
      </c>
      <c r="G71" s="8" t="s">
        <v>44</v>
      </c>
      <c r="H71" s="8" t="s">
        <v>45</v>
      </c>
      <c r="I71" s="9" t="n">
        <v>0.166666666666667</v>
      </c>
      <c r="J71" s="8" t="s">
        <v>33</v>
      </c>
    </row>
    <row r="72" customFormat="false" ht="15" hidden="false" customHeight="false" outlineLevel="0" collapsed="false">
      <c r="A72" s="8" t="n">
        <v>703</v>
      </c>
      <c r="B72" s="8" t="n">
        <v>20</v>
      </c>
      <c r="C72" s="8" t="str">
        <f aca="false">IFERROR(INDEX('Project Classifications'!$B$2:$B$231,MATCH(B72,'Project Classifications'!$A$2:$A$231,0)),"")</f>
        <v>Data for: Understanding Sociocultural Influences in Sexual Health Promotion and HIV Protection among Latinx Sexually Minoritized Men: A Qualitative Study</v>
      </c>
      <c r="D72" s="8" t="s">
        <v>636</v>
      </c>
      <c r="E72" s="8" t="s">
        <v>562</v>
      </c>
      <c r="F72" s="8" t="s">
        <v>42</v>
      </c>
      <c r="G72" s="8" t="s">
        <v>44</v>
      </c>
      <c r="H72" s="8" t="s">
        <v>45</v>
      </c>
      <c r="I72" s="9" t="n">
        <v>0.111111111111111</v>
      </c>
      <c r="J72" s="8" t="s">
        <v>33</v>
      </c>
    </row>
    <row r="73" customFormat="false" ht="15" hidden="false" customHeight="false" outlineLevel="0" collapsed="false">
      <c r="A73" s="8" t="n">
        <v>704</v>
      </c>
      <c r="B73" s="8" t="n">
        <v>20</v>
      </c>
      <c r="C73" s="8" t="str">
        <f aca="false">IFERROR(INDEX('Project Classifications'!$B$2:$B$231,MATCH(B73,'Project Classifications'!$A$2:$A$231,0)),"")</f>
        <v>Data for: Understanding Sociocultural Influences in Sexual Health Promotion and HIV Protection among Latinx Sexually Minoritized Men: A Qualitative Study</v>
      </c>
      <c r="D73" s="8" t="s">
        <v>637</v>
      </c>
      <c r="E73" s="8" t="s">
        <v>562</v>
      </c>
      <c r="F73" s="8" t="s">
        <v>42</v>
      </c>
      <c r="G73" s="8" t="s">
        <v>44</v>
      </c>
      <c r="H73" s="8" t="s">
        <v>45</v>
      </c>
      <c r="I73" s="9" t="n">
        <v>0.0555555555555556</v>
      </c>
      <c r="J73" s="8" t="s">
        <v>33</v>
      </c>
    </row>
    <row r="74" customFormat="false" ht="15" hidden="false" customHeight="false" outlineLevel="0" collapsed="false">
      <c r="A74" s="8" t="n">
        <v>705</v>
      </c>
      <c r="B74" s="8" t="n">
        <v>20</v>
      </c>
      <c r="C74" s="8" t="str">
        <f aca="false">IFERROR(INDEX('Project Classifications'!$B$2:$B$231,MATCH(B74,'Project Classifications'!$A$2:$A$231,0)),"")</f>
        <v>Data for: Understanding Sociocultural Influences in Sexual Health Promotion and HIV Protection among Latinx Sexually Minoritized Men: A Qualitative Study</v>
      </c>
      <c r="D74" s="8" t="s">
        <v>638</v>
      </c>
      <c r="E74" s="8" t="s">
        <v>574</v>
      </c>
      <c r="F74" s="8" t="s">
        <v>53</v>
      </c>
      <c r="G74" s="8" t="s">
        <v>55</v>
      </c>
      <c r="H74" s="8" t="s">
        <v>56</v>
      </c>
      <c r="I74" s="9" t="n">
        <v>0.285714285714286</v>
      </c>
      <c r="J74" s="8" t="s">
        <v>33</v>
      </c>
    </row>
    <row r="75" customFormat="false" ht="15" hidden="false" customHeight="false" outlineLevel="0" collapsed="false">
      <c r="A75" s="8" t="n">
        <v>788</v>
      </c>
      <c r="B75" s="8" t="n">
        <v>23</v>
      </c>
      <c r="C75" s="8" t="str">
        <f aca="false">IFERROR(INDEX('Project Classifications'!$B$2:$B$231,MATCH(B75,'Project Classifications'!$A$2:$A$231,0)),"")</f>
        <v>Community Expert Interviews on Priority Healthcare Needs Amongst People Experiencing Homelessness in Dublin, Ireland: 2022-2023</v>
      </c>
      <c r="D75" s="8" t="s">
        <v>639</v>
      </c>
      <c r="E75" s="8" t="s">
        <v>562</v>
      </c>
      <c r="F75" s="8" t="s">
        <v>42</v>
      </c>
      <c r="G75" s="8" t="s">
        <v>44</v>
      </c>
      <c r="H75" s="8" t="s">
        <v>45</v>
      </c>
      <c r="I75" s="9" t="n">
        <v>0.277777777777778</v>
      </c>
      <c r="J75" s="8" t="s">
        <v>33</v>
      </c>
    </row>
    <row r="76" customFormat="false" ht="15" hidden="false" customHeight="false" outlineLevel="0" collapsed="false">
      <c r="A76" s="8" t="n">
        <v>789</v>
      </c>
      <c r="B76" s="8" t="n">
        <v>23</v>
      </c>
      <c r="C76" s="8" t="str">
        <f aca="false">IFERROR(INDEX('Project Classifications'!$B$2:$B$231,MATCH(B76,'Project Classifications'!$A$2:$A$231,0)),"")</f>
        <v>Community Expert Interviews on Priority Healthcare Needs Amongst People Experiencing Homelessness in Dublin, Ireland: 2022-2023</v>
      </c>
      <c r="D76" s="8" t="s">
        <v>640</v>
      </c>
      <c r="E76" s="8" t="s">
        <v>562</v>
      </c>
      <c r="F76" s="8" t="s">
        <v>42</v>
      </c>
      <c r="G76" s="8" t="s">
        <v>44</v>
      </c>
      <c r="H76" s="8" t="s">
        <v>45</v>
      </c>
      <c r="I76" s="9" t="n">
        <v>0.166666666666667</v>
      </c>
      <c r="J76" s="8" t="s">
        <v>33</v>
      </c>
    </row>
    <row r="77" customFormat="false" ht="15" hidden="false" customHeight="false" outlineLevel="0" collapsed="false">
      <c r="A77" s="8" t="n">
        <v>790</v>
      </c>
      <c r="B77" s="8" t="n">
        <v>23</v>
      </c>
      <c r="C77" s="8" t="str">
        <f aca="false">IFERROR(INDEX('Project Classifications'!$B$2:$B$231,MATCH(B77,'Project Classifications'!$A$2:$A$231,0)),"")</f>
        <v>Community Expert Interviews on Priority Healthcare Needs Amongst People Experiencing Homelessness in Dublin, Ireland: 2022-2023</v>
      </c>
      <c r="D77" s="8" t="s">
        <v>641</v>
      </c>
      <c r="E77" s="8" t="s">
        <v>562</v>
      </c>
      <c r="F77" s="8" t="s">
        <v>42</v>
      </c>
      <c r="G77" s="8" t="s">
        <v>44</v>
      </c>
      <c r="H77" s="8" t="s">
        <v>45</v>
      </c>
      <c r="I77" s="9" t="n">
        <v>0.0555555555555556</v>
      </c>
      <c r="J77" s="8" t="s">
        <v>33</v>
      </c>
    </row>
    <row r="78" customFormat="false" ht="15" hidden="false" customHeight="false" outlineLevel="0" collapsed="false">
      <c r="A78" s="8" t="n">
        <v>807</v>
      </c>
      <c r="B78" s="8" t="n">
        <v>23</v>
      </c>
      <c r="C78" s="8" t="str">
        <f aca="false">IFERROR(INDEX('Project Classifications'!$B$2:$B$231,MATCH(B78,'Project Classifications'!$A$2:$A$231,0)),"")</f>
        <v>Community Expert Interviews on Priority Healthcare Needs Amongst People Experiencing Homelessness in Dublin, Ireland: 2022-2023</v>
      </c>
      <c r="D78" s="8" t="s">
        <v>642</v>
      </c>
      <c r="E78" s="8" t="s">
        <v>574</v>
      </c>
      <c r="F78" s="8" t="s">
        <v>42</v>
      </c>
      <c r="G78" s="8" t="s">
        <v>44</v>
      </c>
      <c r="H78" s="8" t="s">
        <v>45</v>
      </c>
      <c r="I78" s="9" t="n">
        <v>0.277777777777778</v>
      </c>
      <c r="J78" s="8" t="s">
        <v>33</v>
      </c>
    </row>
    <row r="79" customFormat="false" ht="15" hidden="false" customHeight="false" outlineLevel="0" collapsed="false">
      <c r="A79" s="8" t="n">
        <v>808</v>
      </c>
      <c r="B79" s="8" t="n">
        <v>24</v>
      </c>
      <c r="C79" s="8" t="str">
        <f aca="false">IFERROR(INDEX('Project Classifications'!$B$2:$B$231,MATCH(B79,'Project Classifications'!$A$2:$A$231,0)),"")</f>
        <v>Data For: Building a 4E Interview-Grounded Theory Model: A Case Study of Demand Factors for Customized Furniture</v>
      </c>
      <c r="D79" s="8" t="s">
        <v>643</v>
      </c>
      <c r="E79" s="8" t="s">
        <v>574</v>
      </c>
      <c r="F79" s="8" t="s">
        <v>53</v>
      </c>
      <c r="G79" s="8" t="s">
        <v>55</v>
      </c>
      <c r="H79" s="8" t="s">
        <v>56</v>
      </c>
      <c r="I79" s="9" t="n">
        <v>0.285714285714286</v>
      </c>
      <c r="J79" s="8" t="s">
        <v>33</v>
      </c>
    </row>
    <row r="80" customFormat="false" ht="15" hidden="false" customHeight="false" outlineLevel="0" collapsed="false">
      <c r="A80" s="8" t="n">
        <v>809</v>
      </c>
      <c r="B80" s="8" t="n">
        <v>24</v>
      </c>
      <c r="C80" s="8" t="str">
        <f aca="false">IFERROR(INDEX('Project Classifications'!$B$2:$B$231,MATCH(B80,'Project Classifications'!$A$2:$A$231,0)),"")</f>
        <v>Data For: Building a 4E Interview-Grounded Theory Model: A Case Study of Demand Factors for Customized Furniture</v>
      </c>
      <c r="D80" s="8" t="s">
        <v>644</v>
      </c>
      <c r="E80" s="8" t="s">
        <v>562</v>
      </c>
      <c r="F80" s="8" t="s">
        <v>48</v>
      </c>
      <c r="G80" s="8" t="s">
        <v>50</v>
      </c>
      <c r="H80" s="8" t="s">
        <v>49</v>
      </c>
      <c r="I80" s="9" t="n">
        <v>0.125</v>
      </c>
      <c r="J80" s="8" t="s">
        <v>33</v>
      </c>
    </row>
    <row r="81" customFormat="false" ht="15" hidden="false" customHeight="false" outlineLevel="0" collapsed="false">
      <c r="A81" s="8" t="n">
        <v>810</v>
      </c>
      <c r="B81" s="8" t="n">
        <v>24</v>
      </c>
      <c r="C81" s="8" t="str">
        <f aca="false">IFERROR(INDEX('Project Classifications'!$B$2:$B$231,MATCH(B81,'Project Classifications'!$A$2:$A$231,0)),"")</f>
        <v>Data For: Building a 4E Interview-Grounded Theory Model: A Case Study of Demand Factors for Customized Furniture</v>
      </c>
      <c r="D81" s="8" t="s">
        <v>645</v>
      </c>
      <c r="E81" s="8" t="s">
        <v>562</v>
      </c>
      <c r="F81" s="8" t="s">
        <v>53</v>
      </c>
      <c r="G81" s="8" t="s">
        <v>646</v>
      </c>
      <c r="H81" s="8" t="s">
        <v>647</v>
      </c>
      <c r="I81" s="9" t="n">
        <v>0.2</v>
      </c>
      <c r="J81" s="8" t="s">
        <v>33</v>
      </c>
    </row>
    <row r="82" customFormat="false" ht="15" hidden="false" customHeight="false" outlineLevel="0" collapsed="false">
      <c r="A82" s="8" t="n">
        <v>847</v>
      </c>
      <c r="B82" s="8" t="n">
        <v>25</v>
      </c>
      <c r="C82" s="8" t="str">
        <f aca="false">IFERROR(INDEX('Project Classifications'!$B$2:$B$231,MATCH(B82,'Project Classifications'!$A$2:$A$231,0)),"")</f>
        <v>Data for: Drug Shortage Management: A Qualitative Assessment of a Collaborative Approach</v>
      </c>
      <c r="D82" s="8" t="s">
        <v>648</v>
      </c>
      <c r="E82" s="8" t="s">
        <v>574</v>
      </c>
      <c r="F82" s="8" t="s">
        <v>42</v>
      </c>
      <c r="G82" s="8" t="s">
        <v>44</v>
      </c>
      <c r="H82" s="8" t="s">
        <v>45</v>
      </c>
      <c r="I82" s="9" t="n">
        <v>0.222222222222222</v>
      </c>
      <c r="J82" s="8" t="s">
        <v>33</v>
      </c>
    </row>
    <row r="83" customFormat="false" ht="15" hidden="false" customHeight="false" outlineLevel="0" collapsed="false">
      <c r="A83" s="8" t="n">
        <v>848</v>
      </c>
      <c r="B83" s="8" t="n">
        <v>25</v>
      </c>
      <c r="C83" s="8" t="str">
        <f aca="false">IFERROR(INDEX('Project Classifications'!$B$2:$B$231,MATCH(B83,'Project Classifications'!$A$2:$A$231,0)),"")</f>
        <v>Data for: Drug Shortage Management: A Qualitative Assessment of a Collaborative Approach</v>
      </c>
      <c r="D83" s="8" t="s">
        <v>649</v>
      </c>
      <c r="E83" s="8" t="s">
        <v>562</v>
      </c>
      <c r="F83" s="8" t="s">
        <v>42</v>
      </c>
      <c r="G83" s="8" t="s">
        <v>44</v>
      </c>
      <c r="H83" s="8" t="s">
        <v>45</v>
      </c>
      <c r="I83" s="9" t="n">
        <v>0.333333333333333</v>
      </c>
      <c r="J83" s="8" t="s">
        <v>33</v>
      </c>
    </row>
    <row r="84" customFormat="false" ht="15" hidden="false" customHeight="false" outlineLevel="0" collapsed="false">
      <c r="A84" s="8" t="n">
        <v>852</v>
      </c>
      <c r="B84" s="8" t="n">
        <v>25</v>
      </c>
      <c r="C84" s="8" t="str">
        <f aca="false">IFERROR(INDEX('Project Classifications'!$B$2:$B$231,MATCH(B84,'Project Classifications'!$A$2:$A$231,0)),"")</f>
        <v>Data for: Drug Shortage Management: A Qualitative Assessment of a Collaborative Approach</v>
      </c>
      <c r="D84" s="8" t="s">
        <v>650</v>
      </c>
      <c r="E84" s="8" t="s">
        <v>562</v>
      </c>
      <c r="F84" s="8" t="s">
        <v>42</v>
      </c>
      <c r="G84" s="8" t="s">
        <v>44</v>
      </c>
      <c r="H84" s="8" t="s">
        <v>45</v>
      </c>
      <c r="I84" s="9" t="n">
        <v>0.277777777777778</v>
      </c>
      <c r="J84" s="8" t="s">
        <v>33</v>
      </c>
    </row>
    <row r="85" customFormat="false" ht="15" hidden="false" customHeight="false" outlineLevel="0" collapsed="false">
      <c r="A85" s="8" t="n">
        <v>870</v>
      </c>
      <c r="B85" s="8" t="n">
        <v>26</v>
      </c>
      <c r="C85" s="8" t="str">
        <f aca="false">IFERROR(INDEX('Project Classifications'!$B$2:$B$231,MATCH(B85,'Project Classifications'!$A$2:$A$231,0)),"")</f>
        <v>Caregiver Impact on Adherence to Discharge Instructions</v>
      </c>
      <c r="D85" s="8" t="s">
        <v>651</v>
      </c>
      <c r="E85" s="8" t="s">
        <v>562</v>
      </c>
      <c r="F85" s="8" t="s">
        <v>42</v>
      </c>
      <c r="G85" s="8" t="s">
        <v>44</v>
      </c>
      <c r="H85" s="8" t="s">
        <v>45</v>
      </c>
      <c r="I85" s="9" t="n">
        <v>0.166666666666667</v>
      </c>
      <c r="J85" s="8" t="s">
        <v>33</v>
      </c>
    </row>
    <row r="86" customFormat="false" ht="15" hidden="false" customHeight="false" outlineLevel="0" collapsed="false">
      <c r="A86" s="8" t="n">
        <v>873</v>
      </c>
      <c r="B86" s="8" t="n">
        <v>26</v>
      </c>
      <c r="C86" s="8" t="str">
        <f aca="false">IFERROR(INDEX('Project Classifications'!$B$2:$B$231,MATCH(B86,'Project Classifications'!$A$2:$A$231,0)),"")</f>
        <v>Caregiver Impact on Adherence to Discharge Instructions</v>
      </c>
      <c r="D86" s="8" t="s">
        <v>652</v>
      </c>
      <c r="E86" s="8" t="s">
        <v>574</v>
      </c>
      <c r="F86" s="8" t="s">
        <v>42</v>
      </c>
      <c r="G86" s="8" t="s">
        <v>44</v>
      </c>
      <c r="H86" s="8" t="s">
        <v>45</v>
      </c>
      <c r="I86" s="9" t="n">
        <v>0.222222222222222</v>
      </c>
      <c r="J86" s="8" t="s">
        <v>33</v>
      </c>
    </row>
    <row r="87" customFormat="false" ht="15" hidden="false" customHeight="false" outlineLevel="0" collapsed="false">
      <c r="A87" s="8" t="n">
        <v>874</v>
      </c>
      <c r="B87" s="8" t="n">
        <v>27</v>
      </c>
      <c r="C87" s="8" t="str">
        <f aca="false">IFERROR(INDEX('Project Classifications'!$B$2:$B$231,MATCH(B87,'Project Classifications'!$A$2:$A$231,0)),"")</f>
        <v>Data for: An Empirically Informed Analysis of the Ethical Issues Surrounding Split Liver Transplantation in the United Kingdom</v>
      </c>
      <c r="D87" s="8" t="s">
        <v>653</v>
      </c>
      <c r="E87" s="8" t="s">
        <v>654</v>
      </c>
      <c r="F87" s="8" t="s">
        <v>42</v>
      </c>
      <c r="G87" s="8" t="s">
        <v>44</v>
      </c>
      <c r="H87" s="8" t="s">
        <v>45</v>
      </c>
      <c r="I87" s="9" t="n">
        <v>0.222222222222222</v>
      </c>
      <c r="J87" s="8" t="s">
        <v>33</v>
      </c>
    </row>
    <row r="88" customFormat="false" ht="15" hidden="false" customHeight="false" outlineLevel="0" collapsed="false">
      <c r="A88" s="8" t="n">
        <v>875</v>
      </c>
      <c r="B88" s="8" t="n">
        <v>27</v>
      </c>
      <c r="C88" s="8" t="str">
        <f aca="false">IFERROR(INDEX('Project Classifications'!$B$2:$B$231,MATCH(B88,'Project Classifications'!$A$2:$A$231,0)),"")</f>
        <v>Data for: An Empirically Informed Analysis of the Ethical Issues Surrounding Split Liver Transplantation in the United Kingdom</v>
      </c>
      <c r="D88" s="8" t="s">
        <v>655</v>
      </c>
      <c r="E88" s="8" t="s">
        <v>562</v>
      </c>
      <c r="F88" s="8" t="s">
        <v>42</v>
      </c>
      <c r="G88" s="8" t="s">
        <v>44</v>
      </c>
      <c r="H88" s="8" t="s">
        <v>45</v>
      </c>
      <c r="I88" s="9" t="n">
        <v>0.333333333333333</v>
      </c>
      <c r="J88" s="8" t="s">
        <v>33</v>
      </c>
    </row>
    <row r="89" customFormat="false" ht="15" hidden="false" customHeight="false" outlineLevel="0" collapsed="false">
      <c r="A89" s="8" t="n">
        <v>876</v>
      </c>
      <c r="B89" s="8" t="n">
        <v>28</v>
      </c>
      <c r="C89" s="8" t="str">
        <f aca="false">IFERROR(INDEX('Project Classifications'!$B$2:$B$231,MATCH(B89,'Project Classifications'!$A$2:$A$231,0)),"")</f>
        <v>PrEP Optimization Intervention: Qualitative Interviews with Healthcare Providers</v>
      </c>
      <c r="D89" s="8" t="s">
        <v>656</v>
      </c>
      <c r="E89" s="8" t="s">
        <v>574</v>
      </c>
      <c r="F89" s="8" t="s">
        <v>42</v>
      </c>
      <c r="G89" s="8" t="s">
        <v>44</v>
      </c>
      <c r="H89" s="8" t="s">
        <v>45</v>
      </c>
      <c r="I89" s="9" t="n">
        <v>0.277777777777778</v>
      </c>
      <c r="J89" s="8" t="s">
        <v>33</v>
      </c>
    </row>
    <row r="90" customFormat="false" ht="15" hidden="false" customHeight="false" outlineLevel="0" collapsed="false">
      <c r="A90" s="8" t="n">
        <v>877</v>
      </c>
      <c r="B90" s="8" t="n">
        <v>28</v>
      </c>
      <c r="C90" s="8" t="str">
        <f aca="false">IFERROR(INDEX('Project Classifications'!$B$2:$B$231,MATCH(B90,'Project Classifications'!$A$2:$A$231,0)),"")</f>
        <v>PrEP Optimization Intervention: Qualitative Interviews with Healthcare Providers</v>
      </c>
      <c r="D90" s="8" t="s">
        <v>657</v>
      </c>
      <c r="E90" s="8" t="s">
        <v>562</v>
      </c>
      <c r="F90" s="8" t="s">
        <v>42</v>
      </c>
      <c r="G90" s="8" t="s">
        <v>44</v>
      </c>
      <c r="H90" s="8" t="s">
        <v>45</v>
      </c>
      <c r="I90" s="9" t="n">
        <v>0.444444444444444</v>
      </c>
      <c r="J90" s="8" t="s">
        <v>33</v>
      </c>
    </row>
    <row r="91" customFormat="false" ht="15" hidden="false" customHeight="false" outlineLevel="0" collapsed="false">
      <c r="A91" s="8" t="n">
        <v>878</v>
      </c>
      <c r="B91" s="8" t="n">
        <v>28</v>
      </c>
      <c r="C91" s="8" t="str">
        <f aca="false">IFERROR(INDEX('Project Classifications'!$B$2:$B$231,MATCH(B91,'Project Classifications'!$A$2:$A$231,0)),"")</f>
        <v>PrEP Optimization Intervention: Qualitative Interviews with Healthcare Providers</v>
      </c>
      <c r="D91" s="8" t="s">
        <v>658</v>
      </c>
      <c r="E91" s="8" t="s">
        <v>562</v>
      </c>
      <c r="F91" s="8" t="s">
        <v>42</v>
      </c>
      <c r="G91" s="8" t="s">
        <v>44</v>
      </c>
      <c r="H91" s="8" t="s">
        <v>45</v>
      </c>
      <c r="I91" s="9" t="n">
        <v>0.166666666666667</v>
      </c>
      <c r="J91" s="8" t="s">
        <v>33</v>
      </c>
    </row>
    <row r="92" customFormat="false" ht="15" hidden="false" customHeight="false" outlineLevel="0" collapsed="false">
      <c r="A92" s="8" t="n">
        <v>879</v>
      </c>
      <c r="B92" s="8" t="n">
        <v>28</v>
      </c>
      <c r="C92" s="8" t="str">
        <f aca="false">IFERROR(INDEX('Project Classifications'!$B$2:$B$231,MATCH(B92,'Project Classifications'!$A$2:$A$231,0)),"")</f>
        <v>PrEP Optimization Intervention: Qualitative Interviews with Healthcare Providers</v>
      </c>
      <c r="D92" s="8" t="s">
        <v>659</v>
      </c>
      <c r="E92" s="8" t="s">
        <v>562</v>
      </c>
      <c r="F92" s="8" t="s">
        <v>42</v>
      </c>
      <c r="G92" s="8" t="s">
        <v>44</v>
      </c>
      <c r="H92" s="8" t="s">
        <v>45</v>
      </c>
      <c r="I92" s="9" t="n">
        <v>0.444444444444444</v>
      </c>
      <c r="J92" s="8" t="s">
        <v>33</v>
      </c>
    </row>
    <row r="93" customFormat="false" ht="15" hidden="false" customHeight="false" outlineLevel="0" collapsed="false">
      <c r="A93" s="8" t="n">
        <v>904</v>
      </c>
      <c r="B93" s="8" t="n">
        <v>28</v>
      </c>
      <c r="C93" s="8" t="str">
        <f aca="false">IFERROR(INDEX('Project Classifications'!$B$2:$B$231,MATCH(B93,'Project Classifications'!$A$2:$A$231,0)),"")</f>
        <v>PrEP Optimization Intervention: Qualitative Interviews with Healthcare Providers</v>
      </c>
      <c r="D93" s="8" t="s">
        <v>660</v>
      </c>
      <c r="E93" s="8" t="s">
        <v>562</v>
      </c>
      <c r="F93" s="8" t="s">
        <v>42</v>
      </c>
      <c r="G93" s="8" t="s">
        <v>44</v>
      </c>
      <c r="H93" s="8" t="s">
        <v>45</v>
      </c>
      <c r="I93" s="9" t="n">
        <v>0.166666666666667</v>
      </c>
      <c r="J93" s="8" t="s">
        <v>33</v>
      </c>
    </row>
    <row r="94" customFormat="false" ht="15" hidden="false" customHeight="false" outlineLevel="0" collapsed="false">
      <c r="A94" s="8" t="n">
        <v>905</v>
      </c>
      <c r="B94" s="8" t="n">
        <v>29</v>
      </c>
      <c r="C94" s="8" t="str">
        <f aca="false">IFERROR(INDEX('Project Classifications'!$B$2:$B$231,MATCH(B94,'Project Classifications'!$A$2:$A$231,0)),"")</f>
        <v>Understanding and Measuring Responsiveness of Physicians in Rural Bangladesh</v>
      </c>
      <c r="D94" s="8" t="s">
        <v>661</v>
      </c>
      <c r="E94" s="8" t="s">
        <v>574</v>
      </c>
      <c r="F94" s="8" t="s">
        <v>53</v>
      </c>
      <c r="G94" s="8" t="s">
        <v>55</v>
      </c>
      <c r="H94" s="8" t="s">
        <v>56</v>
      </c>
      <c r="I94" s="9" t="n">
        <v>0.285714285714286</v>
      </c>
      <c r="J94" s="8" t="s">
        <v>33</v>
      </c>
    </row>
    <row r="95" customFormat="false" ht="15" hidden="false" customHeight="false" outlineLevel="0" collapsed="false">
      <c r="A95" s="8" t="n">
        <v>908</v>
      </c>
      <c r="B95" s="8" t="n">
        <v>29</v>
      </c>
      <c r="C95" s="8" t="str">
        <f aca="false">IFERROR(INDEX('Project Classifications'!$B$2:$B$231,MATCH(B95,'Project Classifications'!$A$2:$A$231,0)),"")</f>
        <v>Understanding and Measuring Responsiveness of Physicians in Rural Bangladesh</v>
      </c>
      <c r="D95" s="8" t="s">
        <v>662</v>
      </c>
      <c r="E95" s="8" t="s">
        <v>562</v>
      </c>
      <c r="F95" s="8" t="s">
        <v>42</v>
      </c>
      <c r="G95" s="8" t="s">
        <v>44</v>
      </c>
      <c r="H95" s="8" t="s">
        <v>45</v>
      </c>
      <c r="I95" s="9" t="n">
        <v>0.166666666666667</v>
      </c>
      <c r="J95" s="8" t="s">
        <v>33</v>
      </c>
    </row>
    <row r="96" customFormat="false" ht="15" hidden="false" customHeight="false" outlineLevel="0" collapsed="false">
      <c r="A96" s="8" t="n">
        <v>924</v>
      </c>
      <c r="B96" s="8" t="n">
        <v>29</v>
      </c>
      <c r="C96" s="8" t="str">
        <f aca="false">IFERROR(INDEX('Project Classifications'!$B$2:$B$231,MATCH(B96,'Project Classifications'!$A$2:$A$231,0)),"")</f>
        <v>Understanding and Measuring Responsiveness of Physicians in Rural Bangladesh</v>
      </c>
      <c r="D96" s="8" t="s">
        <v>663</v>
      </c>
      <c r="E96" s="8" t="s">
        <v>562</v>
      </c>
      <c r="F96" s="8" t="s">
        <v>305</v>
      </c>
      <c r="G96" s="8" t="s">
        <v>307</v>
      </c>
      <c r="H96" s="8" t="s">
        <v>306</v>
      </c>
      <c r="I96" s="9" t="n">
        <v>0</v>
      </c>
      <c r="J96" s="8" t="s">
        <v>33</v>
      </c>
    </row>
    <row r="97" customFormat="false" ht="15" hidden="false" customHeight="false" outlineLevel="0" collapsed="false">
      <c r="A97" s="8" t="n">
        <v>925</v>
      </c>
      <c r="B97" s="8" t="n">
        <v>29</v>
      </c>
      <c r="C97" s="8" t="str">
        <f aca="false">IFERROR(INDEX('Project Classifications'!$B$2:$B$231,MATCH(B97,'Project Classifications'!$A$2:$A$231,0)),"")</f>
        <v>Understanding and Measuring Responsiveness of Physicians in Rural Bangladesh</v>
      </c>
      <c r="D97" s="8" t="s">
        <v>664</v>
      </c>
      <c r="E97" s="8" t="s">
        <v>562</v>
      </c>
      <c r="F97" s="8" t="s">
        <v>42</v>
      </c>
      <c r="G97" s="8" t="s">
        <v>44</v>
      </c>
      <c r="H97" s="8" t="s">
        <v>45</v>
      </c>
      <c r="I97" s="9" t="n">
        <v>0.166666666666667</v>
      </c>
      <c r="J97" s="8" t="s">
        <v>33</v>
      </c>
    </row>
    <row r="98" customFormat="false" ht="15" hidden="false" customHeight="false" outlineLevel="0" collapsed="false">
      <c r="A98" s="8" t="n">
        <v>926</v>
      </c>
      <c r="B98" s="8" t="n">
        <v>29</v>
      </c>
      <c r="C98" s="8" t="str">
        <f aca="false">IFERROR(INDEX('Project Classifications'!$B$2:$B$231,MATCH(B98,'Project Classifications'!$A$2:$A$231,0)),"")</f>
        <v>Understanding and Measuring Responsiveness of Physicians in Rural Bangladesh</v>
      </c>
      <c r="D98" s="8" t="s">
        <v>665</v>
      </c>
      <c r="E98" s="8" t="s">
        <v>562</v>
      </c>
      <c r="F98" s="8" t="s">
        <v>305</v>
      </c>
      <c r="G98" s="8" t="s">
        <v>307</v>
      </c>
      <c r="H98" s="8" t="s">
        <v>306</v>
      </c>
      <c r="I98" s="9" t="n">
        <v>0</v>
      </c>
      <c r="J98" s="8" t="s">
        <v>33</v>
      </c>
    </row>
    <row r="99" customFormat="false" ht="15" hidden="false" customHeight="false" outlineLevel="0" collapsed="false">
      <c r="A99" s="8" t="n">
        <v>927</v>
      </c>
      <c r="B99" s="8" t="n">
        <v>29</v>
      </c>
      <c r="C99" s="8" t="str">
        <f aca="false">IFERROR(INDEX('Project Classifications'!$B$2:$B$231,MATCH(B99,'Project Classifications'!$A$2:$A$231,0)),"")</f>
        <v>Understanding and Measuring Responsiveness of Physicians in Rural Bangladesh</v>
      </c>
      <c r="D99" s="8" t="s">
        <v>666</v>
      </c>
      <c r="E99" s="8" t="s">
        <v>562</v>
      </c>
      <c r="F99" s="8" t="s">
        <v>42</v>
      </c>
      <c r="G99" s="8" t="s">
        <v>44</v>
      </c>
      <c r="H99" s="8" t="s">
        <v>45</v>
      </c>
      <c r="I99" s="9" t="n">
        <v>0.222222222222222</v>
      </c>
      <c r="J99" s="8" t="s">
        <v>33</v>
      </c>
    </row>
    <row r="100" customFormat="false" ht="15" hidden="false" customHeight="false" outlineLevel="0" collapsed="false">
      <c r="A100" s="8" t="n">
        <v>928</v>
      </c>
      <c r="B100" s="8" t="n">
        <v>30</v>
      </c>
      <c r="C100" s="8" t="str">
        <f aca="false">IFERROR(INDEX('Project Classifications'!$B$2:$B$231,MATCH(B100,'Project Classifications'!$A$2:$A$231,0)),"")</f>
        <v>Data for: Financial Regulatory Conundrums in the North Atlantic</v>
      </c>
      <c r="D100" s="8" t="s">
        <v>667</v>
      </c>
      <c r="E100" s="8" t="s">
        <v>562</v>
      </c>
      <c r="F100" s="8" t="s">
        <v>117</v>
      </c>
      <c r="G100" s="8" t="s">
        <v>119</v>
      </c>
      <c r="H100" s="8" t="s">
        <v>120</v>
      </c>
      <c r="I100" s="9" t="n">
        <v>0.25</v>
      </c>
      <c r="J100" s="8" t="s">
        <v>33</v>
      </c>
    </row>
    <row r="101" customFormat="false" ht="15" hidden="false" customHeight="false" outlineLevel="0" collapsed="false">
      <c r="A101" s="8" t="n">
        <v>932</v>
      </c>
      <c r="B101" s="8" t="n">
        <v>30</v>
      </c>
      <c r="C101" s="8" t="str">
        <f aca="false">IFERROR(INDEX('Project Classifications'!$B$2:$B$231,MATCH(B101,'Project Classifications'!$A$2:$A$231,0)),"")</f>
        <v>Data for: Financial Regulatory Conundrums in the North Atlantic</v>
      </c>
      <c r="D101" s="8" t="s">
        <v>668</v>
      </c>
      <c r="E101" s="8" t="s">
        <v>574</v>
      </c>
      <c r="F101" s="8" t="s">
        <v>53</v>
      </c>
      <c r="G101" s="8" t="s">
        <v>55</v>
      </c>
      <c r="H101" s="8" t="s">
        <v>56</v>
      </c>
      <c r="I101" s="9" t="n">
        <v>0.285714285714286</v>
      </c>
      <c r="J101" s="8" t="s">
        <v>33</v>
      </c>
    </row>
    <row r="102" customFormat="false" ht="15" hidden="false" customHeight="false" outlineLevel="0" collapsed="false">
      <c r="A102" s="8" t="n">
        <v>935</v>
      </c>
      <c r="B102" s="8" t="n">
        <v>31</v>
      </c>
      <c r="C102" s="8" t="str">
        <f aca="false">IFERROR(INDEX('Project Classifications'!$B$2:$B$231,MATCH(B102,'Project Classifications'!$A$2:$A$231,0)),"")</f>
        <v>Data for: Body-Worn Sensors for Parkinson's Disease: A Qualitative Approach with Patients and Healthcare Professionals</v>
      </c>
      <c r="D102" s="8" t="s">
        <v>669</v>
      </c>
      <c r="E102" s="8" t="s">
        <v>574</v>
      </c>
      <c r="F102" s="8" t="s">
        <v>42</v>
      </c>
      <c r="G102" s="8" t="s">
        <v>44</v>
      </c>
      <c r="H102" s="8" t="s">
        <v>45</v>
      </c>
      <c r="I102" s="9" t="n">
        <v>0.333333333333333</v>
      </c>
      <c r="J102" s="8" t="s">
        <v>33</v>
      </c>
    </row>
    <row r="103" customFormat="false" ht="15" hidden="false" customHeight="false" outlineLevel="0" collapsed="false">
      <c r="A103" s="8" t="n">
        <v>936</v>
      </c>
      <c r="B103" s="8" t="n">
        <v>31</v>
      </c>
      <c r="C103" s="8" t="str">
        <f aca="false">IFERROR(INDEX('Project Classifications'!$B$2:$B$231,MATCH(B103,'Project Classifications'!$A$2:$A$231,0)),"")</f>
        <v>Data for: Body-Worn Sensors for Parkinson's Disease: A Qualitative Approach with Patients and Healthcare Professionals</v>
      </c>
      <c r="D103" s="8" t="s">
        <v>670</v>
      </c>
      <c r="E103" s="8" t="s">
        <v>562</v>
      </c>
      <c r="F103" s="8" t="s">
        <v>305</v>
      </c>
      <c r="G103" s="8" t="s">
        <v>307</v>
      </c>
      <c r="H103" s="8" t="s">
        <v>306</v>
      </c>
      <c r="I103" s="9" t="n">
        <v>0</v>
      </c>
      <c r="J103" s="8" t="s">
        <v>33</v>
      </c>
    </row>
    <row r="104" customFormat="false" ht="15" hidden="false" customHeight="false" outlineLevel="0" collapsed="false">
      <c r="A104" s="8" t="n">
        <v>937</v>
      </c>
      <c r="B104" s="8" t="n">
        <v>31</v>
      </c>
      <c r="C104" s="8" t="str">
        <f aca="false">IFERROR(INDEX('Project Classifications'!$B$2:$B$231,MATCH(B104,'Project Classifications'!$A$2:$A$231,0)),"")</f>
        <v>Data for: Body-Worn Sensors for Parkinson's Disease: A Qualitative Approach with Patients and Healthcare Professionals</v>
      </c>
      <c r="D104" s="8" t="s">
        <v>671</v>
      </c>
      <c r="E104" s="8" t="s">
        <v>562</v>
      </c>
      <c r="F104" s="8" t="s">
        <v>42</v>
      </c>
      <c r="G104" s="8" t="s">
        <v>44</v>
      </c>
      <c r="H104" s="8" t="s">
        <v>45</v>
      </c>
      <c r="I104" s="9" t="n">
        <v>0.277777777777778</v>
      </c>
      <c r="J104" s="8" t="s">
        <v>33</v>
      </c>
    </row>
    <row r="105" customFormat="false" ht="15" hidden="false" customHeight="false" outlineLevel="0" collapsed="false">
      <c r="A105" s="8" t="n">
        <v>938</v>
      </c>
      <c r="B105" s="8" t="n">
        <v>31</v>
      </c>
      <c r="C105" s="8" t="str">
        <f aca="false">IFERROR(INDEX('Project Classifications'!$B$2:$B$231,MATCH(B105,'Project Classifications'!$A$2:$A$231,0)),"")</f>
        <v>Data for: Body-Worn Sensors for Parkinson's Disease: A Qualitative Approach with Patients and Healthcare Professionals</v>
      </c>
      <c r="D105" s="8" t="s">
        <v>672</v>
      </c>
      <c r="E105" s="8" t="s">
        <v>562</v>
      </c>
      <c r="F105" s="8" t="s">
        <v>97</v>
      </c>
      <c r="G105" s="8" t="s">
        <v>673</v>
      </c>
      <c r="H105" s="8" t="s">
        <v>674</v>
      </c>
      <c r="I105" s="9" t="n">
        <v>0.25</v>
      </c>
      <c r="J105" s="8" t="s">
        <v>33</v>
      </c>
    </row>
    <row r="106" customFormat="false" ht="15" hidden="false" customHeight="false" outlineLevel="0" collapsed="false">
      <c r="A106" s="8" t="n">
        <v>940</v>
      </c>
      <c r="B106" s="8" t="n">
        <v>32</v>
      </c>
      <c r="C106" s="8" t="str">
        <f aca="false">IFERROR(INDEX('Project Classifications'!$B$2:$B$231,MATCH(B106,'Project Classifications'!$A$2:$A$231,0)),"")</f>
        <v>Data for: Muscle Matters: An Integrationist Turn in Transatlantic Finance</v>
      </c>
      <c r="D106" s="8" t="s">
        <v>667</v>
      </c>
      <c r="E106" s="8" t="s">
        <v>562</v>
      </c>
      <c r="F106" s="8" t="s">
        <v>117</v>
      </c>
      <c r="G106" s="8" t="s">
        <v>119</v>
      </c>
      <c r="H106" s="8" t="s">
        <v>120</v>
      </c>
      <c r="I106" s="9" t="n">
        <v>0.25</v>
      </c>
      <c r="J106" s="8" t="s">
        <v>33</v>
      </c>
    </row>
    <row r="107" customFormat="false" ht="15" hidden="false" customHeight="false" outlineLevel="0" collapsed="false">
      <c r="A107" s="8" t="n">
        <v>942</v>
      </c>
      <c r="B107" s="8" t="n">
        <v>32</v>
      </c>
      <c r="C107" s="8" t="str">
        <f aca="false">IFERROR(INDEX('Project Classifications'!$B$2:$B$231,MATCH(B107,'Project Classifications'!$A$2:$A$231,0)),"")</f>
        <v>Data for: Muscle Matters: An Integrationist Turn in Transatlantic Finance</v>
      </c>
      <c r="D107" s="8" t="s">
        <v>668</v>
      </c>
      <c r="E107" s="8" t="s">
        <v>574</v>
      </c>
      <c r="F107" s="8" t="s">
        <v>53</v>
      </c>
      <c r="G107" s="8" t="s">
        <v>55</v>
      </c>
      <c r="H107" s="8" t="s">
        <v>56</v>
      </c>
      <c r="I107" s="9" t="n">
        <v>0.285714285714286</v>
      </c>
      <c r="J107" s="8" t="s">
        <v>33</v>
      </c>
    </row>
    <row r="108" customFormat="false" ht="15" hidden="false" customHeight="false" outlineLevel="0" collapsed="false">
      <c r="A108" s="8" t="n">
        <v>943</v>
      </c>
      <c r="B108" s="8" t="n">
        <v>33</v>
      </c>
      <c r="C108" s="8" t="str">
        <f aca="false">IFERROR(INDEX('Project Classifications'!$B$2:$B$231,MATCH(B108,'Project Classifications'!$A$2:$A$231,0)),"")</f>
        <v>Data for: "Trickle-Down Burdens: The Effect of Provider Burdens on Clients' Experience"</v>
      </c>
      <c r="D108" s="8" t="s">
        <v>675</v>
      </c>
      <c r="E108" s="8" t="s">
        <v>574</v>
      </c>
      <c r="F108" s="8" t="s">
        <v>53</v>
      </c>
      <c r="G108" s="8" t="s">
        <v>55</v>
      </c>
      <c r="H108" s="8" t="s">
        <v>56</v>
      </c>
      <c r="I108" s="9" t="n">
        <v>0.285714285714286</v>
      </c>
      <c r="J108" s="8" t="s">
        <v>33</v>
      </c>
    </row>
    <row r="109" customFormat="false" ht="15" hidden="false" customHeight="false" outlineLevel="0" collapsed="false">
      <c r="A109" s="8" t="n">
        <v>944</v>
      </c>
      <c r="B109" s="8" t="n">
        <v>33</v>
      </c>
      <c r="C109" s="8" t="str">
        <f aca="false">IFERROR(INDEX('Project Classifications'!$B$2:$B$231,MATCH(B109,'Project Classifications'!$A$2:$A$231,0)),"")</f>
        <v>Data for: "Trickle-Down Burdens: The Effect of Provider Burdens on Clients' Experience"</v>
      </c>
      <c r="D109" s="8" t="s">
        <v>676</v>
      </c>
      <c r="E109" s="8" t="s">
        <v>562</v>
      </c>
      <c r="F109" s="8" t="s">
        <v>42</v>
      </c>
      <c r="G109" s="8" t="s">
        <v>44</v>
      </c>
      <c r="H109" s="8" t="s">
        <v>45</v>
      </c>
      <c r="I109" s="9" t="n">
        <v>0.222222222222222</v>
      </c>
      <c r="J109" s="8" t="s">
        <v>33</v>
      </c>
    </row>
    <row r="110" customFormat="false" ht="15" hidden="false" customHeight="false" outlineLevel="0" collapsed="false">
      <c r="A110" s="8" t="n">
        <v>945</v>
      </c>
      <c r="B110" s="8" t="n">
        <v>33</v>
      </c>
      <c r="C110" s="8" t="str">
        <f aca="false">IFERROR(INDEX('Project Classifications'!$B$2:$B$231,MATCH(B110,'Project Classifications'!$A$2:$A$231,0)),"")</f>
        <v>Data for: "Trickle-Down Burdens: The Effect of Provider Burdens on Clients' Experience"</v>
      </c>
      <c r="D110" s="8" t="s">
        <v>677</v>
      </c>
      <c r="E110" s="8" t="s">
        <v>562</v>
      </c>
      <c r="F110" s="8" t="s">
        <v>42</v>
      </c>
      <c r="G110" s="8" t="s">
        <v>44</v>
      </c>
      <c r="H110" s="8" t="s">
        <v>45</v>
      </c>
      <c r="I110" s="9" t="n">
        <v>0.0555555555555556</v>
      </c>
      <c r="J110" s="8" t="s">
        <v>33</v>
      </c>
    </row>
    <row r="111" customFormat="false" ht="15" hidden="false" customHeight="false" outlineLevel="0" collapsed="false">
      <c r="A111" s="8" t="n">
        <v>946</v>
      </c>
      <c r="B111" s="8" t="n">
        <v>33</v>
      </c>
      <c r="C111" s="8" t="str">
        <f aca="false">IFERROR(INDEX('Project Classifications'!$B$2:$B$231,MATCH(B111,'Project Classifications'!$A$2:$A$231,0)),"")</f>
        <v>Data for: "Trickle-Down Burdens: The Effect of Provider Burdens on Clients' Experience"</v>
      </c>
      <c r="D111" s="8" t="s">
        <v>678</v>
      </c>
      <c r="E111" s="8" t="s">
        <v>562</v>
      </c>
      <c r="F111" s="8" t="s">
        <v>42</v>
      </c>
      <c r="G111" s="8" t="s">
        <v>44</v>
      </c>
      <c r="H111" s="8" t="s">
        <v>45</v>
      </c>
      <c r="I111" s="9" t="n">
        <v>0.222222222222222</v>
      </c>
      <c r="J111" s="8" t="s">
        <v>33</v>
      </c>
    </row>
    <row r="112" customFormat="false" ht="15" hidden="false" customHeight="false" outlineLevel="0" collapsed="false">
      <c r="A112" s="8" t="n">
        <v>947</v>
      </c>
      <c r="B112" s="8" t="n">
        <v>33</v>
      </c>
      <c r="C112" s="8" t="str">
        <f aca="false">IFERROR(INDEX('Project Classifications'!$B$2:$B$231,MATCH(B112,'Project Classifications'!$A$2:$A$231,0)),"")</f>
        <v>Data for: "Trickle-Down Burdens: The Effect of Provider Burdens on Clients' Experience"</v>
      </c>
      <c r="D112" s="8" t="s">
        <v>679</v>
      </c>
      <c r="E112" s="8" t="s">
        <v>562</v>
      </c>
      <c r="F112" s="8" t="s">
        <v>42</v>
      </c>
      <c r="G112" s="8" t="s">
        <v>44</v>
      </c>
      <c r="H112" s="8" t="s">
        <v>45</v>
      </c>
      <c r="I112" s="9" t="n">
        <v>0.222222222222222</v>
      </c>
      <c r="J112" s="8" t="s">
        <v>33</v>
      </c>
    </row>
    <row r="113" customFormat="false" ht="15" hidden="false" customHeight="false" outlineLevel="0" collapsed="false">
      <c r="A113" s="8" t="n">
        <v>948</v>
      </c>
      <c r="B113" s="8" t="n">
        <v>33</v>
      </c>
      <c r="C113" s="8" t="str">
        <f aca="false">IFERROR(INDEX('Project Classifications'!$B$2:$B$231,MATCH(B113,'Project Classifications'!$A$2:$A$231,0)),"")</f>
        <v>Data for: "Trickle-Down Burdens: The Effect of Provider Burdens on Clients' Experience"</v>
      </c>
      <c r="D113" s="8" t="s">
        <v>680</v>
      </c>
      <c r="E113" s="8" t="s">
        <v>562</v>
      </c>
      <c r="F113" s="8" t="s">
        <v>42</v>
      </c>
      <c r="G113" s="8" t="s">
        <v>44</v>
      </c>
      <c r="H113" s="8" t="s">
        <v>45</v>
      </c>
      <c r="I113" s="9" t="n">
        <v>0.222222222222222</v>
      </c>
      <c r="J113" s="8" t="s">
        <v>33</v>
      </c>
    </row>
    <row r="114" customFormat="false" ht="15" hidden="false" customHeight="false" outlineLevel="0" collapsed="false">
      <c r="A114" s="8" t="n">
        <v>949</v>
      </c>
      <c r="B114" s="8" t="n">
        <v>33</v>
      </c>
      <c r="C114" s="8" t="str">
        <f aca="false">IFERROR(INDEX('Project Classifications'!$B$2:$B$231,MATCH(B114,'Project Classifications'!$A$2:$A$231,0)),"")</f>
        <v>Data for: "Trickle-Down Burdens: The Effect of Provider Burdens on Clients' Experience"</v>
      </c>
      <c r="D114" s="8" t="s">
        <v>681</v>
      </c>
      <c r="E114" s="8" t="s">
        <v>562</v>
      </c>
      <c r="F114" s="8" t="s">
        <v>42</v>
      </c>
      <c r="G114" s="8" t="s">
        <v>44</v>
      </c>
      <c r="H114" s="8" t="s">
        <v>45</v>
      </c>
      <c r="I114" s="9" t="n">
        <v>0.222222222222222</v>
      </c>
      <c r="J114" s="8" t="s">
        <v>33</v>
      </c>
    </row>
    <row r="115" customFormat="false" ht="15" hidden="false" customHeight="false" outlineLevel="0" collapsed="false">
      <c r="A115" s="8" t="n">
        <v>950</v>
      </c>
      <c r="B115" s="8" t="n">
        <v>33</v>
      </c>
      <c r="C115" s="8" t="str">
        <f aca="false">IFERROR(INDEX('Project Classifications'!$B$2:$B$231,MATCH(B115,'Project Classifications'!$A$2:$A$231,0)),"")</f>
        <v>Data for: "Trickle-Down Burdens: The Effect of Provider Burdens on Clients' Experience"</v>
      </c>
      <c r="D115" s="8" t="s">
        <v>682</v>
      </c>
      <c r="E115" s="8" t="s">
        <v>562</v>
      </c>
      <c r="F115" s="8" t="s">
        <v>42</v>
      </c>
      <c r="G115" s="8" t="s">
        <v>44</v>
      </c>
      <c r="H115" s="8" t="s">
        <v>45</v>
      </c>
      <c r="I115" s="9" t="n">
        <v>0.222222222222222</v>
      </c>
      <c r="J115" s="8" t="s">
        <v>33</v>
      </c>
    </row>
    <row r="116" customFormat="false" ht="15" hidden="false" customHeight="false" outlineLevel="0" collapsed="false">
      <c r="A116" s="8" t="n">
        <v>951</v>
      </c>
      <c r="B116" s="8" t="n">
        <v>33</v>
      </c>
      <c r="C116" s="8" t="str">
        <f aca="false">IFERROR(INDEX('Project Classifications'!$B$2:$B$231,MATCH(B116,'Project Classifications'!$A$2:$A$231,0)),"")</f>
        <v>Data for: "Trickle-Down Burdens: The Effect of Provider Burdens on Clients' Experience"</v>
      </c>
      <c r="D116" s="8" t="s">
        <v>683</v>
      </c>
      <c r="E116" s="8" t="s">
        <v>562</v>
      </c>
      <c r="F116" s="8" t="s">
        <v>42</v>
      </c>
      <c r="G116" s="8" t="s">
        <v>44</v>
      </c>
      <c r="H116" s="8" t="s">
        <v>45</v>
      </c>
      <c r="I116" s="9" t="n">
        <v>0.222222222222222</v>
      </c>
      <c r="J116" s="8" t="s">
        <v>33</v>
      </c>
    </row>
    <row r="117" customFormat="false" ht="15" hidden="false" customHeight="false" outlineLevel="0" collapsed="false">
      <c r="A117" s="8" t="n">
        <v>952</v>
      </c>
      <c r="B117" s="8" t="n">
        <v>33</v>
      </c>
      <c r="C117" s="8" t="str">
        <f aca="false">IFERROR(INDEX('Project Classifications'!$B$2:$B$231,MATCH(B117,'Project Classifications'!$A$2:$A$231,0)),"")</f>
        <v>Data for: "Trickle-Down Burdens: The Effect of Provider Burdens on Clients' Experience"</v>
      </c>
      <c r="D117" s="8" t="s">
        <v>684</v>
      </c>
      <c r="E117" s="8" t="s">
        <v>562</v>
      </c>
      <c r="F117" s="8" t="s">
        <v>42</v>
      </c>
      <c r="G117" s="8" t="s">
        <v>44</v>
      </c>
      <c r="H117" s="8" t="s">
        <v>45</v>
      </c>
      <c r="I117" s="9" t="n">
        <v>0.333333333333333</v>
      </c>
      <c r="J117" s="8" t="s">
        <v>33</v>
      </c>
    </row>
    <row r="118" customFormat="false" ht="15" hidden="false" customHeight="false" outlineLevel="0" collapsed="false">
      <c r="A118" s="8" t="n">
        <v>953</v>
      </c>
      <c r="B118" s="8" t="n">
        <v>33</v>
      </c>
      <c r="C118" s="8" t="str">
        <f aca="false">IFERROR(INDEX('Project Classifications'!$B$2:$B$231,MATCH(B118,'Project Classifications'!$A$2:$A$231,0)),"")</f>
        <v>Data for: "Trickle-Down Burdens: The Effect of Provider Burdens on Clients' Experience"</v>
      </c>
      <c r="D118" s="8" t="s">
        <v>685</v>
      </c>
      <c r="E118" s="8" t="s">
        <v>562</v>
      </c>
      <c r="F118" s="8" t="s">
        <v>42</v>
      </c>
      <c r="G118" s="8" t="s">
        <v>44</v>
      </c>
      <c r="H118" s="8" t="s">
        <v>45</v>
      </c>
      <c r="I118" s="9" t="n">
        <v>0.166666666666667</v>
      </c>
      <c r="J118" s="8" t="s">
        <v>33</v>
      </c>
    </row>
    <row r="119" customFormat="false" ht="15" hidden="false" customHeight="false" outlineLevel="0" collapsed="false">
      <c r="A119" s="8" t="n">
        <v>954</v>
      </c>
      <c r="B119" s="8" t="n">
        <v>33</v>
      </c>
      <c r="C119" s="8" t="str">
        <f aca="false">IFERROR(INDEX('Project Classifications'!$B$2:$B$231,MATCH(B119,'Project Classifications'!$A$2:$A$231,0)),"")</f>
        <v>Data for: "Trickle-Down Burdens: The Effect of Provider Burdens on Clients' Experience"</v>
      </c>
      <c r="D119" s="8" t="s">
        <v>686</v>
      </c>
      <c r="E119" s="8" t="s">
        <v>562</v>
      </c>
      <c r="F119" s="8" t="s">
        <v>42</v>
      </c>
      <c r="G119" s="8" t="s">
        <v>44</v>
      </c>
      <c r="H119" s="8" t="s">
        <v>45</v>
      </c>
      <c r="I119" s="9" t="n">
        <v>0.277777777777778</v>
      </c>
      <c r="J119" s="8" t="s">
        <v>33</v>
      </c>
    </row>
    <row r="120" customFormat="false" ht="15" hidden="false" customHeight="false" outlineLevel="0" collapsed="false">
      <c r="A120" s="8" t="n">
        <v>956</v>
      </c>
      <c r="B120" s="8" t="n">
        <v>33</v>
      </c>
      <c r="C120" s="8" t="str">
        <f aca="false">IFERROR(INDEX('Project Classifications'!$B$2:$B$231,MATCH(B120,'Project Classifications'!$A$2:$A$231,0)),"")</f>
        <v>Data for: "Trickle-Down Burdens: The Effect of Provider Burdens on Clients' Experience"</v>
      </c>
      <c r="D120" s="8" t="s">
        <v>687</v>
      </c>
      <c r="E120" s="8" t="s">
        <v>562</v>
      </c>
      <c r="F120" s="8" t="s">
        <v>42</v>
      </c>
      <c r="G120" s="8" t="s">
        <v>44</v>
      </c>
      <c r="H120" s="8" t="s">
        <v>45</v>
      </c>
      <c r="I120" s="9" t="n">
        <v>0.222222222222222</v>
      </c>
      <c r="J120" s="8" t="s">
        <v>33</v>
      </c>
    </row>
    <row r="121" customFormat="false" ht="15" hidden="false" customHeight="false" outlineLevel="0" collapsed="false">
      <c r="A121" s="8" t="n">
        <v>957</v>
      </c>
      <c r="B121" s="8" t="n">
        <v>33</v>
      </c>
      <c r="C121" s="8" t="str">
        <f aca="false">IFERROR(INDEX('Project Classifications'!$B$2:$B$231,MATCH(B121,'Project Classifications'!$A$2:$A$231,0)),"")</f>
        <v>Data for: "Trickle-Down Burdens: The Effect of Provider Burdens on Clients' Experience"</v>
      </c>
      <c r="D121" s="8" t="s">
        <v>688</v>
      </c>
      <c r="E121" s="8" t="s">
        <v>562</v>
      </c>
      <c r="F121" s="8" t="s">
        <v>42</v>
      </c>
      <c r="G121" s="8" t="s">
        <v>44</v>
      </c>
      <c r="H121" s="8" t="s">
        <v>45</v>
      </c>
      <c r="I121" s="9" t="n">
        <v>0.0555555555555556</v>
      </c>
      <c r="J121" s="8" t="s">
        <v>33</v>
      </c>
    </row>
    <row r="122" customFormat="false" ht="15" hidden="false" customHeight="false" outlineLevel="0" collapsed="false">
      <c r="A122" s="8" t="n">
        <v>958</v>
      </c>
      <c r="B122" s="8" t="n">
        <v>33</v>
      </c>
      <c r="C122" s="8" t="str">
        <f aca="false">IFERROR(INDEX('Project Classifications'!$B$2:$B$231,MATCH(B122,'Project Classifications'!$A$2:$A$231,0)),"")</f>
        <v>Data for: "Trickle-Down Burdens: The Effect of Provider Burdens on Clients' Experience"</v>
      </c>
      <c r="D122" s="8" t="s">
        <v>689</v>
      </c>
      <c r="E122" s="8" t="s">
        <v>562</v>
      </c>
      <c r="F122" s="8" t="s">
        <v>30</v>
      </c>
      <c r="G122" s="8" t="s">
        <v>32</v>
      </c>
      <c r="H122" s="8" t="s">
        <v>31</v>
      </c>
      <c r="I122" s="9" t="n">
        <v>0.0588235294117647</v>
      </c>
      <c r="J122" s="8" t="s">
        <v>33</v>
      </c>
    </row>
    <row r="123" customFormat="false" ht="15" hidden="false" customHeight="false" outlineLevel="0" collapsed="false">
      <c r="A123" s="8" t="n">
        <v>960</v>
      </c>
      <c r="B123" s="8" t="n">
        <v>33</v>
      </c>
      <c r="C123" s="8" t="str">
        <f aca="false">IFERROR(INDEX('Project Classifications'!$B$2:$B$231,MATCH(B123,'Project Classifications'!$A$2:$A$231,0)),"")</f>
        <v>Data for: "Trickle-Down Burdens: The Effect of Provider Burdens on Clients' Experience"</v>
      </c>
      <c r="D123" s="8" t="s">
        <v>690</v>
      </c>
      <c r="E123" s="8" t="s">
        <v>562</v>
      </c>
      <c r="F123" s="8" t="s">
        <v>179</v>
      </c>
      <c r="G123" s="8" t="s">
        <v>553</v>
      </c>
      <c r="H123" s="8" t="s">
        <v>554</v>
      </c>
      <c r="I123" s="9" t="n">
        <v>0.5</v>
      </c>
      <c r="J123" s="8" t="s">
        <v>33</v>
      </c>
    </row>
    <row r="124" customFormat="false" ht="15" hidden="false" customHeight="false" outlineLevel="0" collapsed="false">
      <c r="A124" s="8" t="n">
        <v>961</v>
      </c>
      <c r="B124" s="8" t="n">
        <v>33</v>
      </c>
      <c r="C124" s="8" t="str">
        <f aca="false">IFERROR(INDEX('Project Classifications'!$B$2:$B$231,MATCH(B124,'Project Classifications'!$A$2:$A$231,0)),"")</f>
        <v>Data for: "Trickle-Down Burdens: The Effect of Provider Burdens on Clients' Experience"</v>
      </c>
      <c r="D124" s="8" t="s">
        <v>691</v>
      </c>
      <c r="E124" s="8" t="s">
        <v>562</v>
      </c>
      <c r="F124" s="8" t="s">
        <v>42</v>
      </c>
      <c r="G124" s="8" t="s">
        <v>44</v>
      </c>
      <c r="H124" s="8" t="s">
        <v>45</v>
      </c>
      <c r="I124" s="9" t="n">
        <v>0.277777777777778</v>
      </c>
      <c r="J124" s="8" t="s">
        <v>33</v>
      </c>
    </row>
    <row r="125" customFormat="false" ht="15" hidden="false" customHeight="false" outlineLevel="0" collapsed="false">
      <c r="A125" s="8" t="n">
        <v>962</v>
      </c>
      <c r="B125" s="8" t="n">
        <v>34</v>
      </c>
      <c r="C125" s="8" t="str">
        <f aca="false">IFERROR(INDEX('Project Classifications'!$B$2:$B$231,MATCH(B125,'Project Classifications'!$A$2:$A$231,0)),"")</f>
        <v>Data for: Data Diaries: Self-Reported Chronicles on Online Health Platforms and the Challenges for Technology Assessment</v>
      </c>
      <c r="D125" s="8" t="s">
        <v>692</v>
      </c>
      <c r="E125" s="8" t="s">
        <v>562</v>
      </c>
      <c r="F125" s="8" t="s">
        <v>42</v>
      </c>
      <c r="G125" s="8" t="s">
        <v>44</v>
      </c>
      <c r="H125" s="8" t="s">
        <v>45</v>
      </c>
      <c r="I125" s="9" t="n">
        <v>0.111111111111111</v>
      </c>
      <c r="J125" s="8" t="s">
        <v>33</v>
      </c>
    </row>
    <row r="126" customFormat="false" ht="15" hidden="false" customHeight="false" outlineLevel="0" collapsed="false">
      <c r="A126" s="8" t="n">
        <v>963</v>
      </c>
      <c r="B126" s="8" t="n">
        <v>34</v>
      </c>
      <c r="C126" s="8" t="str">
        <f aca="false">IFERROR(INDEX('Project Classifications'!$B$2:$B$231,MATCH(B126,'Project Classifications'!$A$2:$A$231,0)),"")</f>
        <v>Data for: Data Diaries: Self-Reported Chronicles on Online Health Platforms and the Challenges for Technology Assessment</v>
      </c>
      <c r="D126" s="8" t="s">
        <v>693</v>
      </c>
      <c r="E126" s="8" t="s">
        <v>562</v>
      </c>
      <c r="F126" s="8" t="s">
        <v>42</v>
      </c>
      <c r="G126" s="8" t="s">
        <v>44</v>
      </c>
      <c r="H126" s="8" t="s">
        <v>45</v>
      </c>
      <c r="I126" s="9" t="n">
        <v>0.222222222222222</v>
      </c>
      <c r="J126" s="8" t="s">
        <v>33</v>
      </c>
    </row>
    <row r="127" customFormat="false" ht="15" hidden="false" customHeight="false" outlineLevel="0" collapsed="false">
      <c r="A127" s="8" t="n">
        <v>965</v>
      </c>
      <c r="B127" s="8" t="n">
        <v>34</v>
      </c>
      <c r="C127" s="8" t="str">
        <f aca="false">IFERROR(INDEX('Project Classifications'!$B$2:$B$231,MATCH(B127,'Project Classifications'!$A$2:$A$231,0)),"")</f>
        <v>Data for: Data Diaries: Self-Reported Chronicles on Online Health Platforms and the Challenges for Technology Assessment</v>
      </c>
      <c r="D127" s="8" t="s">
        <v>694</v>
      </c>
      <c r="E127" s="8" t="s">
        <v>562</v>
      </c>
      <c r="F127" s="8" t="s">
        <v>42</v>
      </c>
      <c r="G127" s="8" t="s">
        <v>44</v>
      </c>
      <c r="H127" s="8" t="s">
        <v>45</v>
      </c>
      <c r="I127" s="9" t="n">
        <v>0.277777777777778</v>
      </c>
      <c r="J127" s="8" t="s">
        <v>33</v>
      </c>
    </row>
    <row r="128" customFormat="false" ht="15" hidden="false" customHeight="false" outlineLevel="0" collapsed="false">
      <c r="A128" s="8" t="n">
        <v>966</v>
      </c>
      <c r="B128" s="8" t="n">
        <v>34</v>
      </c>
      <c r="C128" s="8" t="str">
        <f aca="false">IFERROR(INDEX('Project Classifications'!$B$2:$B$231,MATCH(B128,'Project Classifications'!$A$2:$A$231,0)),"")</f>
        <v>Data for: Data Diaries: Self-Reported Chronicles on Online Health Platforms and the Challenges for Technology Assessment</v>
      </c>
      <c r="D128" s="8" t="s">
        <v>695</v>
      </c>
      <c r="E128" s="8" t="s">
        <v>574</v>
      </c>
      <c r="F128" s="8" t="s">
        <v>42</v>
      </c>
      <c r="G128" s="8" t="s">
        <v>44</v>
      </c>
      <c r="H128" s="8" t="s">
        <v>45</v>
      </c>
      <c r="I128" s="9" t="n">
        <v>0.222222222222222</v>
      </c>
      <c r="J128" s="8" t="s">
        <v>33</v>
      </c>
    </row>
    <row r="129" customFormat="false" ht="15" hidden="false" customHeight="false" outlineLevel="0" collapsed="false">
      <c r="A129" s="8" t="n">
        <v>967</v>
      </c>
      <c r="B129" s="8" t="n">
        <v>35</v>
      </c>
      <c r="C129" s="8" t="str">
        <f aca="false">IFERROR(INDEX('Project Classifications'!$B$2:$B$231,MATCH(B129,'Project Classifications'!$A$2:$A$231,0)),"")</f>
        <v>Data for: Divisive Concepts Laws and Music Education:  PK-20 Music Educators’ Perceptions and Discourses</v>
      </c>
      <c r="D129" s="8" t="s">
        <v>696</v>
      </c>
      <c r="E129" s="8" t="s">
        <v>574</v>
      </c>
      <c r="F129" s="8" t="s">
        <v>53</v>
      </c>
      <c r="G129" s="8" t="s">
        <v>55</v>
      </c>
      <c r="H129" s="8" t="s">
        <v>56</v>
      </c>
      <c r="I129" s="9" t="n">
        <v>0.285714285714286</v>
      </c>
      <c r="J129" s="8" t="s">
        <v>33</v>
      </c>
    </row>
    <row r="130" customFormat="false" ht="15" hidden="false" customHeight="false" outlineLevel="0" collapsed="false">
      <c r="A130" s="8" t="n">
        <v>968</v>
      </c>
      <c r="B130" s="8" t="n">
        <v>35</v>
      </c>
      <c r="C130" s="8" t="str">
        <f aca="false">IFERROR(INDEX('Project Classifications'!$B$2:$B$231,MATCH(B130,'Project Classifications'!$A$2:$A$231,0)),"")</f>
        <v>Data for: Divisive Concepts Laws and Music Education:  PK-20 Music Educators’ Perceptions and Discourses</v>
      </c>
      <c r="D130" s="8" t="s">
        <v>697</v>
      </c>
      <c r="E130" s="8" t="s">
        <v>562</v>
      </c>
      <c r="F130" s="8" t="s">
        <v>48</v>
      </c>
      <c r="G130" s="8" t="s">
        <v>50</v>
      </c>
      <c r="H130" s="8" t="s">
        <v>49</v>
      </c>
      <c r="I130" s="9" t="n">
        <v>0.125</v>
      </c>
      <c r="J130" s="8" t="s">
        <v>33</v>
      </c>
    </row>
    <row r="131" customFormat="false" ht="15" hidden="false" customHeight="false" outlineLevel="0" collapsed="false">
      <c r="A131" s="8" t="n">
        <v>969</v>
      </c>
      <c r="B131" s="8" t="n">
        <v>35</v>
      </c>
      <c r="C131" s="8" t="str">
        <f aca="false">IFERROR(INDEX('Project Classifications'!$B$2:$B$231,MATCH(B131,'Project Classifications'!$A$2:$A$231,0)),"")</f>
        <v>Data for: Divisive Concepts Laws and Music Education:  PK-20 Music Educators’ Perceptions and Discourses</v>
      </c>
      <c r="D131" s="8" t="s">
        <v>698</v>
      </c>
      <c r="E131" s="8" t="s">
        <v>562</v>
      </c>
      <c r="F131" s="8" t="s">
        <v>48</v>
      </c>
      <c r="G131" s="8" t="s">
        <v>50</v>
      </c>
      <c r="H131" s="8" t="s">
        <v>49</v>
      </c>
      <c r="I131" s="9" t="n">
        <v>0.0625</v>
      </c>
      <c r="J131" s="8" t="s">
        <v>33</v>
      </c>
    </row>
    <row r="132" customFormat="false" ht="15" hidden="false" customHeight="false" outlineLevel="0" collapsed="false">
      <c r="A132" s="8" t="n">
        <v>970</v>
      </c>
      <c r="B132" s="8" t="n">
        <v>35</v>
      </c>
      <c r="C132" s="8" t="str">
        <f aca="false">IFERROR(INDEX('Project Classifications'!$B$2:$B$231,MATCH(B132,'Project Classifications'!$A$2:$A$231,0)),"")</f>
        <v>Data for: Divisive Concepts Laws and Music Education:  PK-20 Music Educators’ Perceptions and Discourses</v>
      </c>
      <c r="D132" s="8" t="s">
        <v>699</v>
      </c>
      <c r="E132" s="8" t="s">
        <v>562</v>
      </c>
      <c r="F132" s="8" t="s">
        <v>48</v>
      </c>
      <c r="G132" s="8" t="s">
        <v>50</v>
      </c>
      <c r="H132" s="8" t="s">
        <v>49</v>
      </c>
      <c r="I132" s="9" t="n">
        <v>0.25</v>
      </c>
      <c r="J132" s="8" t="s">
        <v>33</v>
      </c>
    </row>
    <row r="133" customFormat="false" ht="15" hidden="false" customHeight="false" outlineLevel="0" collapsed="false">
      <c r="A133" s="8" t="n">
        <v>972</v>
      </c>
      <c r="B133" s="8" t="n">
        <v>36</v>
      </c>
      <c r="C133" s="8" t="str">
        <f aca="false">IFERROR(INDEX('Project Classifications'!$B$2:$B$231,MATCH(B133,'Project Classifications'!$A$2:$A$231,0)),"")</f>
        <v>Demand for Modern Contraception in Sub-Saharan Africa: New Methods, New Evidence</v>
      </c>
      <c r="D133" s="8" t="s">
        <v>700</v>
      </c>
      <c r="E133" s="8" t="s">
        <v>562</v>
      </c>
      <c r="F133" s="8" t="s">
        <v>305</v>
      </c>
      <c r="G133" s="8" t="s">
        <v>307</v>
      </c>
      <c r="H133" s="8" t="s">
        <v>306</v>
      </c>
      <c r="I133" s="9" t="n">
        <v>0</v>
      </c>
      <c r="J133" s="8" t="s">
        <v>33</v>
      </c>
    </row>
    <row r="134" customFormat="false" ht="15" hidden="false" customHeight="false" outlineLevel="0" collapsed="false">
      <c r="A134" s="8" t="n">
        <v>973</v>
      </c>
      <c r="B134" s="8" t="n">
        <v>36</v>
      </c>
      <c r="C134" s="8" t="str">
        <f aca="false">IFERROR(INDEX('Project Classifications'!$B$2:$B$231,MATCH(B134,'Project Classifications'!$A$2:$A$231,0)),"")</f>
        <v>Demand for Modern Contraception in Sub-Saharan Africa: New Methods, New Evidence</v>
      </c>
      <c r="D134" s="8" t="s">
        <v>701</v>
      </c>
      <c r="E134" s="8" t="s">
        <v>562</v>
      </c>
      <c r="F134" s="8" t="s">
        <v>42</v>
      </c>
      <c r="G134" s="8" t="s">
        <v>44</v>
      </c>
      <c r="H134" s="8" t="s">
        <v>45</v>
      </c>
      <c r="I134" s="9" t="n">
        <v>0.166666666666667</v>
      </c>
      <c r="J134" s="8" t="s">
        <v>33</v>
      </c>
    </row>
    <row r="135" customFormat="false" ht="15" hidden="false" customHeight="false" outlineLevel="0" collapsed="false">
      <c r="A135" s="8" t="n">
        <v>974</v>
      </c>
      <c r="B135" s="8" t="n">
        <v>36</v>
      </c>
      <c r="C135" s="8" t="str">
        <f aca="false">IFERROR(INDEX('Project Classifications'!$B$2:$B$231,MATCH(B135,'Project Classifications'!$A$2:$A$231,0)),"")</f>
        <v>Demand for Modern Contraception in Sub-Saharan Africa: New Methods, New Evidence</v>
      </c>
      <c r="D135" s="8" t="s">
        <v>702</v>
      </c>
      <c r="E135" s="8" t="s">
        <v>562</v>
      </c>
      <c r="F135" s="8" t="s">
        <v>48</v>
      </c>
      <c r="G135" s="8" t="s">
        <v>50</v>
      </c>
      <c r="H135" s="8" t="s">
        <v>49</v>
      </c>
      <c r="I135" s="9" t="n">
        <v>0.0625</v>
      </c>
      <c r="J135" s="8" t="s">
        <v>33</v>
      </c>
    </row>
    <row r="136" customFormat="false" ht="15" hidden="false" customHeight="false" outlineLevel="0" collapsed="false">
      <c r="A136" s="8" t="n">
        <v>975</v>
      </c>
      <c r="B136" s="8" t="n">
        <v>36</v>
      </c>
      <c r="C136" s="8" t="str">
        <f aca="false">IFERROR(INDEX('Project Classifications'!$B$2:$B$231,MATCH(B136,'Project Classifications'!$A$2:$A$231,0)),"")</f>
        <v>Demand for Modern Contraception in Sub-Saharan Africa: New Methods, New Evidence</v>
      </c>
      <c r="D136" s="8" t="s">
        <v>703</v>
      </c>
      <c r="E136" s="8" t="s">
        <v>562</v>
      </c>
      <c r="F136" s="8" t="s">
        <v>305</v>
      </c>
      <c r="G136" s="8" t="s">
        <v>307</v>
      </c>
      <c r="H136" s="8" t="s">
        <v>306</v>
      </c>
      <c r="I136" s="9" t="n">
        <v>0</v>
      </c>
      <c r="J136" s="8" t="s">
        <v>33</v>
      </c>
    </row>
    <row r="137" customFormat="false" ht="15" hidden="false" customHeight="false" outlineLevel="0" collapsed="false">
      <c r="A137" s="8" t="n">
        <v>976</v>
      </c>
      <c r="B137" s="8" t="n">
        <v>36</v>
      </c>
      <c r="C137" s="8" t="str">
        <f aca="false">IFERROR(INDEX('Project Classifications'!$B$2:$B$231,MATCH(B137,'Project Classifications'!$A$2:$A$231,0)),"")</f>
        <v>Demand for Modern Contraception in Sub-Saharan Africa: New Methods, New Evidence</v>
      </c>
      <c r="D137" s="8" t="s">
        <v>704</v>
      </c>
      <c r="E137" s="8" t="s">
        <v>562</v>
      </c>
      <c r="F137" s="8" t="s">
        <v>42</v>
      </c>
      <c r="G137" s="8" t="s">
        <v>44</v>
      </c>
      <c r="H137" s="8" t="s">
        <v>45</v>
      </c>
      <c r="I137" s="9" t="n">
        <v>0.111111111111111</v>
      </c>
      <c r="J137" s="8" t="s">
        <v>33</v>
      </c>
    </row>
    <row r="138" customFormat="false" ht="15" hidden="false" customHeight="false" outlineLevel="0" collapsed="false">
      <c r="A138" s="8" t="n">
        <v>977</v>
      </c>
      <c r="B138" s="8" t="n">
        <v>36</v>
      </c>
      <c r="C138" s="8" t="str">
        <f aca="false">IFERROR(INDEX('Project Classifications'!$B$2:$B$231,MATCH(B138,'Project Classifications'!$A$2:$A$231,0)),"")</f>
        <v>Demand for Modern Contraception in Sub-Saharan Africa: New Methods, New Evidence</v>
      </c>
      <c r="D138" s="8" t="s">
        <v>705</v>
      </c>
      <c r="E138" s="8" t="s">
        <v>562</v>
      </c>
      <c r="F138" s="8" t="s">
        <v>48</v>
      </c>
      <c r="G138" s="8" t="s">
        <v>50</v>
      </c>
      <c r="H138" s="8" t="s">
        <v>49</v>
      </c>
      <c r="I138" s="9" t="n">
        <v>0.0625</v>
      </c>
      <c r="J138" s="8" t="s">
        <v>33</v>
      </c>
    </row>
    <row r="139" customFormat="false" ht="15" hidden="false" customHeight="false" outlineLevel="0" collapsed="false">
      <c r="A139" s="8" t="n">
        <v>978</v>
      </c>
      <c r="B139" s="8" t="n">
        <v>36</v>
      </c>
      <c r="C139" s="8" t="str">
        <f aca="false">IFERROR(INDEX('Project Classifications'!$B$2:$B$231,MATCH(B139,'Project Classifications'!$A$2:$A$231,0)),"")</f>
        <v>Demand for Modern Contraception in Sub-Saharan Africa: New Methods, New Evidence</v>
      </c>
      <c r="D139" s="8" t="s">
        <v>706</v>
      </c>
      <c r="E139" s="8" t="s">
        <v>562</v>
      </c>
      <c r="F139" s="8" t="s">
        <v>48</v>
      </c>
      <c r="G139" s="8" t="s">
        <v>50</v>
      </c>
      <c r="H139" s="8" t="s">
        <v>49</v>
      </c>
      <c r="I139" s="9" t="n">
        <v>0.125</v>
      </c>
      <c r="J139" s="8" t="s">
        <v>33</v>
      </c>
    </row>
    <row r="140" customFormat="false" ht="15" hidden="false" customHeight="false" outlineLevel="0" collapsed="false">
      <c r="A140" s="8" t="n">
        <v>1212</v>
      </c>
      <c r="B140" s="8" t="n">
        <v>36</v>
      </c>
      <c r="C140" s="8" t="str">
        <f aca="false">IFERROR(INDEX('Project Classifications'!$B$2:$B$231,MATCH(B140,'Project Classifications'!$A$2:$A$231,0)),"")</f>
        <v>Demand for Modern Contraception in Sub-Saharan Africa: New Methods, New Evidence</v>
      </c>
      <c r="D140" s="8" t="s">
        <v>707</v>
      </c>
      <c r="E140" s="8" t="s">
        <v>574</v>
      </c>
      <c r="F140" s="8" t="s">
        <v>53</v>
      </c>
      <c r="G140" s="8" t="s">
        <v>55</v>
      </c>
      <c r="H140" s="8" t="s">
        <v>56</v>
      </c>
      <c r="I140" s="9" t="n">
        <v>0.142857142857143</v>
      </c>
      <c r="J140" s="8" t="s">
        <v>33</v>
      </c>
    </row>
    <row r="141" customFormat="false" ht="15" hidden="false" customHeight="false" outlineLevel="0" collapsed="false">
      <c r="A141" s="8" t="n">
        <v>1252</v>
      </c>
      <c r="B141" s="8" t="n">
        <v>37</v>
      </c>
      <c r="C141" s="8" t="str">
        <f aca="false">IFERROR(INDEX('Project Classifications'!$B$2:$B$231,MATCH(B141,'Project Classifications'!$A$2:$A$231,0)),"")</f>
        <v>Marine Corps Resilience Project</v>
      </c>
      <c r="D141" s="8" t="s">
        <v>708</v>
      </c>
      <c r="E141" s="8" t="s">
        <v>562</v>
      </c>
      <c r="F141" s="8" t="s">
        <v>42</v>
      </c>
      <c r="G141" s="8" t="s">
        <v>44</v>
      </c>
      <c r="H141" s="8" t="s">
        <v>45</v>
      </c>
      <c r="I141" s="9" t="n">
        <v>0.166666666666667</v>
      </c>
      <c r="J141" s="8" t="s">
        <v>33</v>
      </c>
    </row>
    <row r="142" customFormat="false" ht="15" hidden="false" customHeight="false" outlineLevel="0" collapsed="false">
      <c r="A142" s="8" t="n">
        <v>1253</v>
      </c>
      <c r="B142" s="8" t="n">
        <v>37</v>
      </c>
      <c r="C142" s="8" t="str">
        <f aca="false">IFERROR(INDEX('Project Classifications'!$B$2:$B$231,MATCH(B142,'Project Classifications'!$A$2:$A$231,0)),"")</f>
        <v>Marine Corps Resilience Project</v>
      </c>
      <c r="D142" s="8" t="s">
        <v>709</v>
      </c>
      <c r="E142" s="8" t="s">
        <v>562</v>
      </c>
      <c r="F142" s="8" t="s">
        <v>305</v>
      </c>
      <c r="G142" s="8" t="s">
        <v>307</v>
      </c>
      <c r="H142" s="8" t="s">
        <v>306</v>
      </c>
      <c r="I142" s="9" t="n">
        <v>0</v>
      </c>
      <c r="J142" s="8" t="s">
        <v>33</v>
      </c>
    </row>
    <row r="143" customFormat="false" ht="15" hidden="false" customHeight="false" outlineLevel="0" collapsed="false">
      <c r="A143" s="8" t="n">
        <v>1254</v>
      </c>
      <c r="B143" s="8" t="n">
        <v>37</v>
      </c>
      <c r="C143" s="8" t="str">
        <f aca="false">IFERROR(INDEX('Project Classifications'!$B$2:$B$231,MATCH(B143,'Project Classifications'!$A$2:$A$231,0)),"")</f>
        <v>Marine Corps Resilience Project</v>
      </c>
      <c r="D143" s="8" t="s">
        <v>710</v>
      </c>
      <c r="E143" s="8" t="s">
        <v>562</v>
      </c>
      <c r="F143" s="8" t="s">
        <v>48</v>
      </c>
      <c r="G143" s="8" t="s">
        <v>50</v>
      </c>
      <c r="H143" s="8" t="s">
        <v>49</v>
      </c>
      <c r="I143" s="9" t="n">
        <v>0.125</v>
      </c>
      <c r="J143" s="8" t="s">
        <v>33</v>
      </c>
    </row>
    <row r="144" customFormat="false" ht="15" hidden="false" customHeight="false" outlineLevel="0" collapsed="false">
      <c r="A144" s="8" t="n">
        <v>1255</v>
      </c>
      <c r="B144" s="8" t="n">
        <v>37</v>
      </c>
      <c r="C144" s="8" t="str">
        <f aca="false">IFERROR(INDEX('Project Classifications'!$B$2:$B$231,MATCH(B144,'Project Classifications'!$A$2:$A$231,0)),"")</f>
        <v>Marine Corps Resilience Project</v>
      </c>
      <c r="D144" s="8" t="s">
        <v>711</v>
      </c>
      <c r="E144" s="8" t="s">
        <v>562</v>
      </c>
      <c r="F144" s="8" t="s">
        <v>48</v>
      </c>
      <c r="G144" s="8" t="s">
        <v>50</v>
      </c>
      <c r="H144" s="8" t="s">
        <v>49</v>
      </c>
      <c r="I144" s="9" t="n">
        <v>0.25</v>
      </c>
      <c r="J144" s="8" t="s">
        <v>33</v>
      </c>
    </row>
    <row r="145" customFormat="false" ht="15" hidden="false" customHeight="false" outlineLevel="0" collapsed="false">
      <c r="A145" s="8" t="n">
        <v>1256</v>
      </c>
      <c r="B145" s="8" t="n">
        <v>37</v>
      </c>
      <c r="C145" s="8" t="str">
        <f aca="false">IFERROR(INDEX('Project Classifications'!$B$2:$B$231,MATCH(B145,'Project Classifications'!$A$2:$A$231,0)),"")</f>
        <v>Marine Corps Resilience Project</v>
      </c>
      <c r="D145" s="8" t="s">
        <v>712</v>
      </c>
      <c r="E145" s="8" t="s">
        <v>562</v>
      </c>
      <c r="F145" s="8" t="s">
        <v>48</v>
      </c>
      <c r="G145" s="8" t="s">
        <v>50</v>
      </c>
      <c r="H145" s="8" t="s">
        <v>49</v>
      </c>
      <c r="I145" s="9" t="n">
        <v>0.125</v>
      </c>
      <c r="J145" s="8" t="s">
        <v>33</v>
      </c>
    </row>
    <row r="146" customFormat="false" ht="15" hidden="false" customHeight="false" outlineLevel="0" collapsed="false">
      <c r="A146" s="8" t="n">
        <v>1257</v>
      </c>
      <c r="B146" s="8" t="n">
        <v>37</v>
      </c>
      <c r="C146" s="8" t="str">
        <f aca="false">IFERROR(INDEX('Project Classifications'!$B$2:$B$231,MATCH(B146,'Project Classifications'!$A$2:$A$231,0)),"")</f>
        <v>Marine Corps Resilience Project</v>
      </c>
      <c r="D146" s="8" t="s">
        <v>713</v>
      </c>
      <c r="E146" s="8" t="s">
        <v>562</v>
      </c>
      <c r="F146" s="8" t="s">
        <v>48</v>
      </c>
      <c r="G146" s="8" t="s">
        <v>50</v>
      </c>
      <c r="H146" s="8" t="s">
        <v>49</v>
      </c>
      <c r="I146" s="9" t="n">
        <v>0.25</v>
      </c>
      <c r="J146" s="8" t="s">
        <v>33</v>
      </c>
    </row>
    <row r="147" customFormat="false" ht="15" hidden="false" customHeight="false" outlineLevel="0" collapsed="false">
      <c r="A147" s="8" t="n">
        <v>1258</v>
      </c>
      <c r="B147" s="8" t="n">
        <v>37</v>
      </c>
      <c r="C147" s="8" t="str">
        <f aca="false">IFERROR(INDEX('Project Classifications'!$B$2:$B$231,MATCH(B147,'Project Classifications'!$A$2:$A$231,0)),"")</f>
        <v>Marine Corps Resilience Project</v>
      </c>
      <c r="D147" s="8" t="s">
        <v>714</v>
      </c>
      <c r="E147" s="8" t="s">
        <v>574</v>
      </c>
      <c r="F147" s="8" t="s">
        <v>53</v>
      </c>
      <c r="G147" s="8" t="s">
        <v>55</v>
      </c>
      <c r="H147" s="8" t="s">
        <v>56</v>
      </c>
      <c r="I147" s="9" t="n">
        <v>0.285714285714286</v>
      </c>
      <c r="J147" s="8" t="s">
        <v>33</v>
      </c>
    </row>
    <row r="148" customFormat="false" ht="15" hidden="false" customHeight="false" outlineLevel="0" collapsed="false">
      <c r="A148" s="8" t="n">
        <v>1259</v>
      </c>
      <c r="B148" s="8" t="n">
        <v>38</v>
      </c>
      <c r="C148" s="8" t="str">
        <f aca="false">IFERROR(INDEX('Project Classifications'!$B$2:$B$231,MATCH(B148,'Project Classifications'!$A$2:$A$231,0)),"")</f>
        <v>Fostering Ethical Neurotechnology Academia-Industry Partnerships: A Stakeholder Engagement and Toolkit Development Project</v>
      </c>
      <c r="D148" s="8" t="s">
        <v>715</v>
      </c>
      <c r="E148" s="8" t="s">
        <v>562</v>
      </c>
      <c r="F148" s="8" t="s">
        <v>42</v>
      </c>
      <c r="G148" s="8" t="s">
        <v>44</v>
      </c>
      <c r="H148" s="8" t="s">
        <v>45</v>
      </c>
      <c r="I148" s="9" t="n">
        <v>0.222222222222222</v>
      </c>
      <c r="J148" s="8" t="s">
        <v>33</v>
      </c>
    </row>
    <row r="149" customFormat="false" ht="15" hidden="false" customHeight="false" outlineLevel="0" collapsed="false">
      <c r="A149" s="8" t="n">
        <v>1260</v>
      </c>
      <c r="B149" s="8" t="n">
        <v>38</v>
      </c>
      <c r="C149" s="8" t="str">
        <f aca="false">IFERROR(INDEX('Project Classifications'!$B$2:$B$231,MATCH(B149,'Project Classifications'!$A$2:$A$231,0)),"")</f>
        <v>Fostering Ethical Neurotechnology Academia-Industry Partnerships: A Stakeholder Engagement and Toolkit Development Project</v>
      </c>
      <c r="D149" s="8" t="s">
        <v>716</v>
      </c>
      <c r="E149" s="8" t="s">
        <v>562</v>
      </c>
      <c r="F149" s="8" t="s">
        <v>42</v>
      </c>
      <c r="G149" s="8" t="s">
        <v>44</v>
      </c>
      <c r="H149" s="8" t="s">
        <v>45</v>
      </c>
      <c r="I149" s="9" t="n">
        <v>0.166666666666667</v>
      </c>
      <c r="J149" s="8" t="s">
        <v>33</v>
      </c>
    </row>
    <row r="150" customFormat="false" ht="15" hidden="false" customHeight="false" outlineLevel="0" collapsed="false">
      <c r="A150" s="8" t="n">
        <v>1261</v>
      </c>
      <c r="B150" s="8" t="n">
        <v>38</v>
      </c>
      <c r="C150" s="8" t="str">
        <f aca="false">IFERROR(INDEX('Project Classifications'!$B$2:$B$231,MATCH(B150,'Project Classifications'!$A$2:$A$231,0)),"")</f>
        <v>Fostering Ethical Neurotechnology Academia-Industry Partnerships: A Stakeholder Engagement and Toolkit Development Project</v>
      </c>
      <c r="D150" s="8" t="s">
        <v>717</v>
      </c>
      <c r="E150" s="8" t="s">
        <v>562</v>
      </c>
      <c r="F150" s="8" t="s">
        <v>42</v>
      </c>
      <c r="G150" s="8" t="s">
        <v>44</v>
      </c>
      <c r="H150" s="8" t="s">
        <v>45</v>
      </c>
      <c r="I150" s="9" t="n">
        <v>0.388888888888889</v>
      </c>
      <c r="J150" s="8" t="s">
        <v>33</v>
      </c>
    </row>
    <row r="151" customFormat="false" ht="15" hidden="false" customHeight="false" outlineLevel="0" collapsed="false">
      <c r="A151" s="8" t="n">
        <v>1262</v>
      </c>
      <c r="B151" s="8" t="n">
        <v>38</v>
      </c>
      <c r="C151" s="8" t="str">
        <f aca="false">IFERROR(INDEX('Project Classifications'!$B$2:$B$231,MATCH(B151,'Project Classifications'!$A$2:$A$231,0)),"")</f>
        <v>Fostering Ethical Neurotechnology Academia-Industry Partnerships: A Stakeholder Engagement and Toolkit Development Project</v>
      </c>
      <c r="D151" s="8" t="s">
        <v>718</v>
      </c>
      <c r="E151" s="8" t="s">
        <v>562</v>
      </c>
      <c r="F151" s="8" t="s">
        <v>42</v>
      </c>
      <c r="G151" s="8" t="s">
        <v>44</v>
      </c>
      <c r="H151" s="8" t="s">
        <v>45</v>
      </c>
      <c r="I151" s="9" t="n">
        <v>0.222222222222222</v>
      </c>
      <c r="J151" s="8" t="s">
        <v>33</v>
      </c>
    </row>
    <row r="152" customFormat="false" ht="15" hidden="false" customHeight="false" outlineLevel="0" collapsed="false">
      <c r="A152" s="8" t="n">
        <v>1263</v>
      </c>
      <c r="B152" s="8" t="n">
        <v>38</v>
      </c>
      <c r="C152" s="8" t="str">
        <f aca="false">IFERROR(INDEX('Project Classifications'!$B$2:$B$231,MATCH(B152,'Project Classifications'!$A$2:$A$231,0)),"")</f>
        <v>Fostering Ethical Neurotechnology Academia-Industry Partnerships: A Stakeholder Engagement and Toolkit Development Project</v>
      </c>
      <c r="D152" s="8" t="s">
        <v>719</v>
      </c>
      <c r="E152" s="8" t="s">
        <v>562</v>
      </c>
      <c r="F152" s="8" t="s">
        <v>42</v>
      </c>
      <c r="G152" s="8" t="s">
        <v>44</v>
      </c>
      <c r="H152" s="8" t="s">
        <v>45</v>
      </c>
      <c r="I152" s="9" t="n">
        <v>0.222222222222222</v>
      </c>
      <c r="J152" s="8" t="s">
        <v>33</v>
      </c>
    </row>
    <row r="153" customFormat="false" ht="15" hidden="false" customHeight="false" outlineLevel="0" collapsed="false">
      <c r="A153" s="8" t="n">
        <v>1268</v>
      </c>
      <c r="B153" s="8" t="n">
        <v>38</v>
      </c>
      <c r="C153" s="8" t="str">
        <f aca="false">IFERROR(INDEX('Project Classifications'!$B$2:$B$231,MATCH(B153,'Project Classifications'!$A$2:$A$231,0)),"")</f>
        <v>Fostering Ethical Neurotechnology Academia-Industry Partnerships: A Stakeholder Engagement and Toolkit Development Project</v>
      </c>
      <c r="D153" s="8" t="s">
        <v>720</v>
      </c>
      <c r="E153" s="8" t="s">
        <v>562</v>
      </c>
      <c r="F153" s="8" t="s">
        <v>48</v>
      </c>
      <c r="G153" s="8" t="s">
        <v>50</v>
      </c>
      <c r="H153" s="8" t="s">
        <v>49</v>
      </c>
      <c r="I153" s="9" t="n">
        <v>0.25</v>
      </c>
      <c r="J153" s="8" t="s">
        <v>33</v>
      </c>
    </row>
    <row r="154" customFormat="false" ht="15" hidden="false" customHeight="false" outlineLevel="0" collapsed="false">
      <c r="A154" s="8" t="n">
        <v>1269</v>
      </c>
      <c r="B154" s="8" t="n">
        <v>38</v>
      </c>
      <c r="C154" s="8" t="str">
        <f aca="false">IFERROR(INDEX('Project Classifications'!$B$2:$B$231,MATCH(B154,'Project Classifications'!$A$2:$A$231,0)),"")</f>
        <v>Fostering Ethical Neurotechnology Academia-Industry Partnerships: A Stakeholder Engagement and Toolkit Development Project</v>
      </c>
      <c r="D154" s="8" t="s">
        <v>721</v>
      </c>
      <c r="E154" s="8" t="s">
        <v>562</v>
      </c>
      <c r="F154" s="8" t="s">
        <v>48</v>
      </c>
      <c r="G154" s="8" t="s">
        <v>50</v>
      </c>
      <c r="H154" s="8" t="s">
        <v>49</v>
      </c>
      <c r="I154" s="9" t="n">
        <v>0.1875</v>
      </c>
      <c r="J154" s="8" t="s">
        <v>33</v>
      </c>
    </row>
    <row r="155" customFormat="false" ht="15" hidden="false" customHeight="false" outlineLevel="0" collapsed="false">
      <c r="A155" s="8" t="n">
        <v>1270</v>
      </c>
      <c r="B155" s="8" t="n">
        <v>38</v>
      </c>
      <c r="C155" s="8" t="str">
        <f aca="false">IFERROR(INDEX('Project Classifications'!$B$2:$B$231,MATCH(B155,'Project Classifications'!$A$2:$A$231,0)),"")</f>
        <v>Fostering Ethical Neurotechnology Academia-Industry Partnerships: A Stakeholder Engagement and Toolkit Development Project</v>
      </c>
      <c r="D155" s="8" t="s">
        <v>722</v>
      </c>
      <c r="E155" s="8" t="s">
        <v>562</v>
      </c>
      <c r="F155" s="8" t="s">
        <v>42</v>
      </c>
      <c r="G155" s="8" t="s">
        <v>44</v>
      </c>
      <c r="H155" s="8" t="s">
        <v>45</v>
      </c>
      <c r="I155" s="9" t="n">
        <v>0.277777777777778</v>
      </c>
      <c r="J155" s="8" t="s">
        <v>33</v>
      </c>
    </row>
    <row r="156" customFormat="false" ht="15" hidden="false" customHeight="false" outlineLevel="0" collapsed="false">
      <c r="A156" s="8" t="n">
        <v>1271</v>
      </c>
      <c r="B156" s="8" t="n">
        <v>38</v>
      </c>
      <c r="C156" s="8" t="str">
        <f aca="false">IFERROR(INDEX('Project Classifications'!$B$2:$B$231,MATCH(B156,'Project Classifications'!$A$2:$A$231,0)),"")</f>
        <v>Fostering Ethical Neurotechnology Academia-Industry Partnerships: A Stakeholder Engagement and Toolkit Development Project</v>
      </c>
      <c r="D156" s="8" t="s">
        <v>723</v>
      </c>
      <c r="E156" s="8" t="s">
        <v>562</v>
      </c>
      <c r="F156" s="8" t="s">
        <v>42</v>
      </c>
      <c r="G156" s="8" t="s">
        <v>44</v>
      </c>
      <c r="H156" s="8" t="s">
        <v>45</v>
      </c>
      <c r="I156" s="9" t="n">
        <v>0.166666666666667</v>
      </c>
      <c r="J156" s="8" t="s">
        <v>33</v>
      </c>
    </row>
    <row r="157" customFormat="false" ht="15" hidden="false" customHeight="false" outlineLevel="0" collapsed="false">
      <c r="A157" s="8" t="n">
        <v>1272</v>
      </c>
      <c r="B157" s="8" t="n">
        <v>38</v>
      </c>
      <c r="C157" s="8" t="str">
        <f aca="false">IFERROR(INDEX('Project Classifications'!$B$2:$B$231,MATCH(B157,'Project Classifications'!$A$2:$A$231,0)),"")</f>
        <v>Fostering Ethical Neurotechnology Academia-Industry Partnerships: A Stakeholder Engagement and Toolkit Development Project</v>
      </c>
      <c r="D157" s="8" t="s">
        <v>724</v>
      </c>
      <c r="E157" s="8" t="s">
        <v>562</v>
      </c>
      <c r="F157" s="8" t="s">
        <v>48</v>
      </c>
      <c r="G157" s="8" t="s">
        <v>50</v>
      </c>
      <c r="H157" s="8" t="s">
        <v>49</v>
      </c>
      <c r="I157" s="9" t="n">
        <v>0.125</v>
      </c>
      <c r="J157" s="8" t="s">
        <v>33</v>
      </c>
    </row>
    <row r="158" customFormat="false" ht="15" hidden="false" customHeight="false" outlineLevel="0" collapsed="false">
      <c r="A158" s="8" t="n">
        <v>1273</v>
      </c>
      <c r="B158" s="8" t="n">
        <v>38</v>
      </c>
      <c r="C158" s="8" t="str">
        <f aca="false">IFERROR(INDEX('Project Classifications'!$B$2:$B$231,MATCH(B158,'Project Classifications'!$A$2:$A$231,0)),"")</f>
        <v>Fostering Ethical Neurotechnology Academia-Industry Partnerships: A Stakeholder Engagement and Toolkit Development Project</v>
      </c>
      <c r="D158" s="8" t="s">
        <v>725</v>
      </c>
      <c r="E158" s="8" t="s">
        <v>562</v>
      </c>
      <c r="F158" s="8" t="s">
        <v>42</v>
      </c>
      <c r="G158" s="8" t="s">
        <v>44</v>
      </c>
      <c r="H158" s="8" t="s">
        <v>45</v>
      </c>
      <c r="I158" s="9" t="n">
        <v>0.333333333333333</v>
      </c>
      <c r="J158" s="8" t="s">
        <v>33</v>
      </c>
    </row>
    <row r="159" customFormat="false" ht="15" hidden="false" customHeight="false" outlineLevel="0" collapsed="false">
      <c r="A159" s="8" t="n">
        <v>1274</v>
      </c>
      <c r="B159" s="8" t="n">
        <v>38</v>
      </c>
      <c r="C159" s="8" t="str">
        <f aca="false">IFERROR(INDEX('Project Classifications'!$B$2:$B$231,MATCH(B159,'Project Classifications'!$A$2:$A$231,0)),"")</f>
        <v>Fostering Ethical Neurotechnology Academia-Industry Partnerships: A Stakeholder Engagement and Toolkit Development Project</v>
      </c>
      <c r="D159" s="8" t="s">
        <v>726</v>
      </c>
      <c r="E159" s="8" t="s">
        <v>562</v>
      </c>
      <c r="F159" s="8" t="s">
        <v>48</v>
      </c>
      <c r="G159" s="8" t="s">
        <v>50</v>
      </c>
      <c r="H159" s="8" t="s">
        <v>49</v>
      </c>
      <c r="I159" s="9" t="n">
        <v>0.125</v>
      </c>
      <c r="J159" s="8" t="s">
        <v>33</v>
      </c>
    </row>
    <row r="160" customFormat="false" ht="15" hidden="false" customHeight="false" outlineLevel="0" collapsed="false">
      <c r="A160" s="8" t="n">
        <v>1275</v>
      </c>
      <c r="B160" s="8" t="n">
        <v>38</v>
      </c>
      <c r="C160" s="8" t="str">
        <f aca="false">IFERROR(INDEX('Project Classifications'!$B$2:$B$231,MATCH(B160,'Project Classifications'!$A$2:$A$231,0)),"")</f>
        <v>Fostering Ethical Neurotechnology Academia-Industry Partnerships: A Stakeholder Engagement and Toolkit Development Project</v>
      </c>
      <c r="D160" s="8" t="s">
        <v>727</v>
      </c>
      <c r="E160" s="8" t="s">
        <v>562</v>
      </c>
      <c r="F160" s="8" t="s">
        <v>48</v>
      </c>
      <c r="G160" s="8" t="s">
        <v>50</v>
      </c>
      <c r="H160" s="8" t="s">
        <v>49</v>
      </c>
      <c r="I160" s="9" t="n">
        <v>0.125</v>
      </c>
      <c r="J160" s="8" t="s">
        <v>33</v>
      </c>
    </row>
    <row r="161" customFormat="false" ht="15" hidden="false" customHeight="false" outlineLevel="0" collapsed="false">
      <c r="A161" s="8" t="n">
        <v>1276</v>
      </c>
      <c r="B161" s="8" t="n">
        <v>38</v>
      </c>
      <c r="C161" s="8" t="str">
        <f aca="false">IFERROR(INDEX('Project Classifications'!$B$2:$B$231,MATCH(B161,'Project Classifications'!$A$2:$A$231,0)),"")</f>
        <v>Fostering Ethical Neurotechnology Academia-Industry Partnerships: A Stakeholder Engagement and Toolkit Development Project</v>
      </c>
      <c r="D161" s="8" t="s">
        <v>728</v>
      </c>
      <c r="E161" s="8" t="s">
        <v>562</v>
      </c>
      <c r="F161" s="8" t="s">
        <v>42</v>
      </c>
      <c r="G161" s="8" t="s">
        <v>44</v>
      </c>
      <c r="H161" s="8" t="s">
        <v>45</v>
      </c>
      <c r="I161" s="9" t="n">
        <v>0.333333333333333</v>
      </c>
      <c r="J161" s="8" t="s">
        <v>33</v>
      </c>
    </row>
    <row r="162" customFormat="false" ht="15" hidden="false" customHeight="false" outlineLevel="0" collapsed="false">
      <c r="A162" s="8" t="n">
        <v>1277</v>
      </c>
      <c r="B162" s="8" t="n">
        <v>38</v>
      </c>
      <c r="C162" s="8" t="str">
        <f aca="false">IFERROR(INDEX('Project Classifications'!$B$2:$B$231,MATCH(B162,'Project Classifications'!$A$2:$A$231,0)),"")</f>
        <v>Fostering Ethical Neurotechnology Academia-Industry Partnerships: A Stakeholder Engagement and Toolkit Development Project</v>
      </c>
      <c r="D162" s="8" t="s">
        <v>729</v>
      </c>
      <c r="E162" s="8" t="s">
        <v>562</v>
      </c>
      <c r="F162" s="8" t="s">
        <v>42</v>
      </c>
      <c r="G162" s="8" t="s">
        <v>44</v>
      </c>
      <c r="H162" s="8" t="s">
        <v>45</v>
      </c>
      <c r="I162" s="9" t="n">
        <v>0.0555555555555556</v>
      </c>
      <c r="J162" s="8" t="s">
        <v>33</v>
      </c>
    </row>
    <row r="163" customFormat="false" ht="15" hidden="false" customHeight="false" outlineLevel="0" collapsed="false">
      <c r="A163" s="8" t="n">
        <v>1278</v>
      </c>
      <c r="B163" s="8" t="n">
        <v>38</v>
      </c>
      <c r="C163" s="8" t="str">
        <f aca="false">IFERROR(INDEX('Project Classifications'!$B$2:$B$231,MATCH(B163,'Project Classifications'!$A$2:$A$231,0)),"")</f>
        <v>Fostering Ethical Neurotechnology Academia-Industry Partnerships: A Stakeholder Engagement and Toolkit Development Project</v>
      </c>
      <c r="D163" s="8" t="s">
        <v>730</v>
      </c>
      <c r="E163" s="8" t="s">
        <v>562</v>
      </c>
      <c r="F163" s="8" t="s">
        <v>36</v>
      </c>
      <c r="G163" s="8" t="s">
        <v>421</v>
      </c>
      <c r="H163" s="8" t="s">
        <v>422</v>
      </c>
      <c r="I163" s="9" t="n">
        <v>0.166666666666667</v>
      </c>
      <c r="J163" s="8" t="s">
        <v>33</v>
      </c>
    </row>
    <row r="164" customFormat="false" ht="15" hidden="false" customHeight="false" outlineLevel="0" collapsed="false">
      <c r="A164" s="8" t="n">
        <v>1279</v>
      </c>
      <c r="B164" s="8" t="n">
        <v>38</v>
      </c>
      <c r="C164" s="8" t="str">
        <f aca="false">IFERROR(INDEX('Project Classifications'!$B$2:$B$231,MATCH(B164,'Project Classifications'!$A$2:$A$231,0)),"")</f>
        <v>Fostering Ethical Neurotechnology Academia-Industry Partnerships: A Stakeholder Engagement and Toolkit Development Project</v>
      </c>
      <c r="D164" s="8" t="s">
        <v>731</v>
      </c>
      <c r="E164" s="8" t="s">
        <v>562</v>
      </c>
      <c r="F164" s="8" t="s">
        <v>42</v>
      </c>
      <c r="G164" s="8" t="s">
        <v>44</v>
      </c>
      <c r="H164" s="8" t="s">
        <v>45</v>
      </c>
      <c r="I164" s="9" t="n">
        <v>0.388888888888889</v>
      </c>
      <c r="J164" s="8" t="s">
        <v>33</v>
      </c>
    </row>
    <row r="165" customFormat="false" ht="15" hidden="false" customHeight="false" outlineLevel="0" collapsed="false">
      <c r="A165" s="8" t="n">
        <v>1280</v>
      </c>
      <c r="B165" s="8" t="n">
        <v>38</v>
      </c>
      <c r="C165" s="8" t="str">
        <f aca="false">IFERROR(INDEX('Project Classifications'!$B$2:$B$231,MATCH(B165,'Project Classifications'!$A$2:$A$231,0)),"")</f>
        <v>Fostering Ethical Neurotechnology Academia-Industry Partnerships: A Stakeholder Engagement and Toolkit Development Project</v>
      </c>
      <c r="D165" s="8" t="s">
        <v>732</v>
      </c>
      <c r="E165" s="8" t="s">
        <v>562</v>
      </c>
      <c r="F165" s="8" t="s">
        <v>42</v>
      </c>
      <c r="G165" s="8" t="s">
        <v>44</v>
      </c>
      <c r="H165" s="8" t="s">
        <v>45</v>
      </c>
      <c r="I165" s="9" t="n">
        <v>0.166666666666667</v>
      </c>
      <c r="J165" s="8" t="s">
        <v>33</v>
      </c>
    </row>
    <row r="166" customFormat="false" ht="15" hidden="false" customHeight="false" outlineLevel="0" collapsed="false">
      <c r="A166" s="8" t="n">
        <v>1281</v>
      </c>
      <c r="B166" s="8" t="n">
        <v>38</v>
      </c>
      <c r="C166" s="8" t="str">
        <f aca="false">IFERROR(INDEX('Project Classifications'!$B$2:$B$231,MATCH(B166,'Project Classifications'!$A$2:$A$231,0)),"")</f>
        <v>Fostering Ethical Neurotechnology Academia-Industry Partnerships: A Stakeholder Engagement and Toolkit Development Project</v>
      </c>
      <c r="D166" s="8" t="s">
        <v>733</v>
      </c>
      <c r="E166" s="8" t="s">
        <v>562</v>
      </c>
      <c r="F166" s="8" t="s">
        <v>42</v>
      </c>
      <c r="G166" s="8" t="s">
        <v>44</v>
      </c>
      <c r="H166" s="8" t="s">
        <v>45</v>
      </c>
      <c r="I166" s="9" t="n">
        <v>0.222222222222222</v>
      </c>
      <c r="J166" s="8" t="s">
        <v>33</v>
      </c>
    </row>
    <row r="167" customFormat="false" ht="15" hidden="false" customHeight="false" outlineLevel="0" collapsed="false">
      <c r="A167" s="8" t="n">
        <v>1282</v>
      </c>
      <c r="B167" s="8" t="n">
        <v>38</v>
      </c>
      <c r="C167" s="8" t="str">
        <f aca="false">IFERROR(INDEX('Project Classifications'!$B$2:$B$231,MATCH(B167,'Project Classifications'!$A$2:$A$231,0)),"")</f>
        <v>Fostering Ethical Neurotechnology Academia-Industry Partnerships: A Stakeholder Engagement and Toolkit Development Project</v>
      </c>
      <c r="D167" s="8" t="s">
        <v>734</v>
      </c>
      <c r="E167" s="8" t="s">
        <v>562</v>
      </c>
      <c r="F167" s="8" t="s">
        <v>48</v>
      </c>
      <c r="G167" s="8" t="s">
        <v>50</v>
      </c>
      <c r="H167" s="8" t="s">
        <v>49</v>
      </c>
      <c r="I167" s="9" t="n">
        <v>0.0625</v>
      </c>
      <c r="J167" s="8" t="s">
        <v>33</v>
      </c>
    </row>
    <row r="168" customFormat="false" ht="15" hidden="false" customHeight="false" outlineLevel="0" collapsed="false">
      <c r="A168" s="8" t="n">
        <v>1283</v>
      </c>
      <c r="B168" s="8" t="n">
        <v>38</v>
      </c>
      <c r="C168" s="8" t="str">
        <f aca="false">IFERROR(INDEX('Project Classifications'!$B$2:$B$231,MATCH(B168,'Project Classifications'!$A$2:$A$231,0)),"")</f>
        <v>Fostering Ethical Neurotechnology Academia-Industry Partnerships: A Stakeholder Engagement and Toolkit Development Project</v>
      </c>
      <c r="D168" s="8" t="s">
        <v>735</v>
      </c>
      <c r="E168" s="8" t="s">
        <v>562</v>
      </c>
      <c r="F168" s="8" t="s">
        <v>42</v>
      </c>
      <c r="G168" s="8" t="s">
        <v>44</v>
      </c>
      <c r="H168" s="8" t="s">
        <v>45</v>
      </c>
      <c r="I168" s="9" t="n">
        <v>0.111111111111111</v>
      </c>
      <c r="J168" s="8" t="s">
        <v>33</v>
      </c>
    </row>
    <row r="169" customFormat="false" ht="15" hidden="false" customHeight="false" outlineLevel="0" collapsed="false">
      <c r="A169" s="8" t="n">
        <v>1284</v>
      </c>
      <c r="B169" s="8" t="n">
        <v>38</v>
      </c>
      <c r="C169" s="8" t="str">
        <f aca="false">IFERROR(INDEX('Project Classifications'!$B$2:$B$231,MATCH(B169,'Project Classifications'!$A$2:$A$231,0)),"")</f>
        <v>Fostering Ethical Neurotechnology Academia-Industry Partnerships: A Stakeholder Engagement and Toolkit Development Project</v>
      </c>
      <c r="D169" s="8" t="s">
        <v>736</v>
      </c>
      <c r="E169" s="8" t="s">
        <v>562</v>
      </c>
      <c r="F169" s="8" t="s">
        <v>195</v>
      </c>
      <c r="G169" s="8" t="s">
        <v>197</v>
      </c>
      <c r="H169" s="8" t="s">
        <v>198</v>
      </c>
      <c r="I169" s="9" t="n">
        <v>0.5</v>
      </c>
      <c r="J169" s="8" t="s">
        <v>33</v>
      </c>
    </row>
    <row r="170" customFormat="false" ht="15" hidden="false" customHeight="false" outlineLevel="0" collapsed="false">
      <c r="A170" s="8" t="n">
        <v>1392</v>
      </c>
      <c r="B170" s="8" t="n">
        <v>38</v>
      </c>
      <c r="C170" s="8" t="str">
        <f aca="false">IFERROR(INDEX('Project Classifications'!$B$2:$B$231,MATCH(B170,'Project Classifications'!$A$2:$A$231,0)),"")</f>
        <v>Fostering Ethical Neurotechnology Academia-Industry Partnerships: A Stakeholder Engagement and Toolkit Development Project</v>
      </c>
      <c r="D170" s="8" t="s">
        <v>737</v>
      </c>
      <c r="E170" s="8" t="s">
        <v>574</v>
      </c>
      <c r="F170" s="8" t="s">
        <v>53</v>
      </c>
      <c r="G170" s="8" t="s">
        <v>55</v>
      </c>
      <c r="H170" s="8" t="s">
        <v>56</v>
      </c>
      <c r="I170" s="9" t="n">
        <v>0.285714285714286</v>
      </c>
      <c r="J170" s="8" t="s">
        <v>33</v>
      </c>
    </row>
    <row r="171" customFormat="false" ht="15" hidden="false" customHeight="false" outlineLevel="0" collapsed="false">
      <c r="A171" s="8" t="n">
        <v>1412</v>
      </c>
      <c r="B171" s="8" t="n">
        <v>39</v>
      </c>
      <c r="C171" s="8" t="str">
        <f aca="false">IFERROR(INDEX('Project Classifications'!$B$2:$B$231,MATCH(B171,'Project Classifications'!$A$2:$A$231,0)),"")</f>
        <v>Data for: Health Practitioners’ Readiness to Address Domestic Violence and Abuse: A Qualitative Meta-synthesis</v>
      </c>
      <c r="D171" s="8" t="s">
        <v>738</v>
      </c>
      <c r="E171" s="8" t="s">
        <v>600</v>
      </c>
      <c r="F171" s="8" t="s">
        <v>42</v>
      </c>
      <c r="G171" s="8" t="s">
        <v>44</v>
      </c>
      <c r="H171" s="8" t="s">
        <v>45</v>
      </c>
      <c r="I171" s="9" t="n">
        <v>0.222222222222222</v>
      </c>
      <c r="J171" s="8" t="s">
        <v>33</v>
      </c>
    </row>
    <row r="172" customFormat="false" ht="15" hidden="false" customHeight="false" outlineLevel="0" collapsed="false">
      <c r="A172" s="8" t="n">
        <v>1425</v>
      </c>
      <c r="B172" s="8" t="n">
        <v>39</v>
      </c>
      <c r="C172" s="8" t="str">
        <f aca="false">IFERROR(INDEX('Project Classifications'!$B$2:$B$231,MATCH(B172,'Project Classifications'!$A$2:$A$231,0)),"")</f>
        <v>Data for: Health Practitioners’ Readiness to Address Domestic Violence and Abuse: A Qualitative Meta-synthesis</v>
      </c>
      <c r="D172" s="8" t="s">
        <v>739</v>
      </c>
      <c r="E172" s="8" t="s">
        <v>740</v>
      </c>
      <c r="F172" s="8" t="s">
        <v>42</v>
      </c>
      <c r="G172" s="8" t="s">
        <v>44</v>
      </c>
      <c r="H172" s="8" t="s">
        <v>45</v>
      </c>
      <c r="I172" s="9" t="n">
        <v>0</v>
      </c>
      <c r="J172" s="8" t="s">
        <v>741</v>
      </c>
    </row>
    <row r="173" customFormat="false" ht="15" hidden="false" customHeight="false" outlineLevel="0" collapsed="false">
      <c r="A173" s="8" t="n">
        <v>1426</v>
      </c>
      <c r="B173" s="8" t="n">
        <v>39</v>
      </c>
      <c r="C173" s="8" t="str">
        <f aca="false">IFERROR(INDEX('Project Classifications'!$B$2:$B$231,MATCH(B173,'Project Classifications'!$A$2:$A$231,0)),"")</f>
        <v>Data for: Health Practitioners’ Readiness to Address Domestic Violence and Abuse: A Qualitative Meta-synthesis</v>
      </c>
      <c r="D173" s="8" t="s">
        <v>742</v>
      </c>
      <c r="E173" s="8" t="s">
        <v>743</v>
      </c>
      <c r="F173" s="8" t="s">
        <v>42</v>
      </c>
      <c r="G173" s="8" t="s">
        <v>44</v>
      </c>
      <c r="H173" s="8" t="s">
        <v>45</v>
      </c>
      <c r="I173" s="9" t="n">
        <v>0.333333333333333</v>
      </c>
      <c r="J173" s="8" t="s">
        <v>33</v>
      </c>
    </row>
    <row r="174" customFormat="false" ht="15" hidden="false" customHeight="false" outlineLevel="0" collapsed="false">
      <c r="A174" s="8" t="n">
        <v>1443</v>
      </c>
      <c r="B174" s="8" t="n">
        <v>39</v>
      </c>
      <c r="C174" s="8" t="str">
        <f aca="false">IFERROR(INDEX('Project Classifications'!$B$2:$B$231,MATCH(B174,'Project Classifications'!$A$2:$A$231,0)),"")</f>
        <v>Data for: Health Practitioners’ Readiness to Address Domestic Violence and Abuse: A Qualitative Meta-synthesis</v>
      </c>
      <c r="D174" s="8" t="s">
        <v>744</v>
      </c>
      <c r="E174" s="8" t="s">
        <v>574</v>
      </c>
      <c r="F174" s="8" t="s">
        <v>53</v>
      </c>
      <c r="G174" s="8" t="s">
        <v>55</v>
      </c>
      <c r="H174" s="8" t="s">
        <v>56</v>
      </c>
      <c r="I174" s="9" t="n">
        <v>0.285714285714286</v>
      </c>
      <c r="J174" s="8" t="s">
        <v>33</v>
      </c>
    </row>
    <row r="175" customFormat="false" ht="15" hidden="false" customHeight="false" outlineLevel="0" collapsed="false">
      <c r="A175" s="8" t="n">
        <v>1444</v>
      </c>
      <c r="B175" s="8" t="n">
        <v>40</v>
      </c>
      <c r="C175" s="8" t="str">
        <f aca="false">IFERROR(INDEX('Project Classifications'!$B$2:$B$231,MATCH(B175,'Project Classifications'!$A$2:$A$231,0)),"")</f>
        <v>Data for: Responding to Environmental Uncertainties in Critical Supply Acquisition: An Examination of Contracting for Personal Protective Equipment (PPE) in the Aftermath of COVID-19</v>
      </c>
      <c r="D175" s="8" t="s">
        <v>745</v>
      </c>
      <c r="E175" s="8" t="s">
        <v>562</v>
      </c>
      <c r="F175" s="8" t="s">
        <v>445</v>
      </c>
      <c r="G175" s="8" t="s">
        <v>746</v>
      </c>
      <c r="H175" s="8" t="s">
        <v>747</v>
      </c>
      <c r="I175" s="9" t="n">
        <v>0.333333333333333</v>
      </c>
      <c r="J175" s="8" t="s">
        <v>33</v>
      </c>
    </row>
    <row r="176" customFormat="false" ht="15" hidden="false" customHeight="false" outlineLevel="0" collapsed="false">
      <c r="A176" s="8" t="n">
        <v>1445</v>
      </c>
      <c r="B176" s="8" t="n">
        <v>40</v>
      </c>
      <c r="C176" s="8" t="str">
        <f aca="false">IFERROR(INDEX('Project Classifications'!$B$2:$B$231,MATCH(B176,'Project Classifications'!$A$2:$A$231,0)),"")</f>
        <v>Data for: Responding to Environmental Uncertainties in Critical Supply Acquisition: An Examination of Contracting for Personal Protective Equipment (PPE) in the Aftermath of COVID-19</v>
      </c>
      <c r="D176" s="8" t="s">
        <v>748</v>
      </c>
      <c r="E176" s="8" t="s">
        <v>562</v>
      </c>
      <c r="F176" s="8" t="s">
        <v>42</v>
      </c>
      <c r="G176" s="8" t="s">
        <v>44</v>
      </c>
      <c r="H176" s="8" t="s">
        <v>45</v>
      </c>
      <c r="I176" s="9" t="n">
        <v>0.222222222222222</v>
      </c>
      <c r="J176" s="8" t="s">
        <v>33</v>
      </c>
    </row>
    <row r="177" customFormat="false" ht="15" hidden="false" customHeight="false" outlineLevel="0" collapsed="false">
      <c r="A177" s="8" t="n">
        <v>1446</v>
      </c>
      <c r="B177" s="8" t="n">
        <v>40</v>
      </c>
      <c r="C177" s="8" t="str">
        <f aca="false">IFERROR(INDEX('Project Classifications'!$B$2:$B$231,MATCH(B177,'Project Classifications'!$A$2:$A$231,0)),"")</f>
        <v>Data for: Responding to Environmental Uncertainties in Critical Supply Acquisition: An Examination of Contracting for Personal Protective Equipment (PPE) in the Aftermath of COVID-19</v>
      </c>
      <c r="D177" s="8" t="s">
        <v>749</v>
      </c>
      <c r="E177" s="8" t="s">
        <v>562</v>
      </c>
      <c r="F177" s="8" t="s">
        <v>42</v>
      </c>
      <c r="G177" s="8" t="s">
        <v>44</v>
      </c>
      <c r="H177" s="8" t="s">
        <v>45</v>
      </c>
      <c r="I177" s="9" t="n">
        <v>0.277777777777778</v>
      </c>
      <c r="J177" s="8" t="s">
        <v>33</v>
      </c>
    </row>
    <row r="178" customFormat="false" ht="15" hidden="false" customHeight="false" outlineLevel="0" collapsed="false">
      <c r="A178" s="8" t="n">
        <v>1447</v>
      </c>
      <c r="B178" s="8" t="n">
        <v>40</v>
      </c>
      <c r="C178" s="8" t="str">
        <f aca="false">IFERROR(INDEX('Project Classifications'!$B$2:$B$231,MATCH(B178,'Project Classifications'!$A$2:$A$231,0)),"")</f>
        <v>Data for: Responding to Environmental Uncertainties in Critical Supply Acquisition: An Examination of Contracting for Personal Protective Equipment (PPE) in the Aftermath of COVID-19</v>
      </c>
      <c r="D178" s="8" t="s">
        <v>750</v>
      </c>
      <c r="E178" s="8" t="s">
        <v>562</v>
      </c>
      <c r="F178" s="8" t="s">
        <v>42</v>
      </c>
      <c r="G178" s="8" t="s">
        <v>44</v>
      </c>
      <c r="H178" s="8" t="s">
        <v>45</v>
      </c>
      <c r="I178" s="9" t="n">
        <v>0.388888888888889</v>
      </c>
      <c r="J178" s="8" t="s">
        <v>33</v>
      </c>
    </row>
    <row r="179" customFormat="false" ht="15" hidden="false" customHeight="false" outlineLevel="0" collapsed="false">
      <c r="A179" s="8" t="n">
        <v>1448</v>
      </c>
      <c r="B179" s="8" t="n">
        <v>40</v>
      </c>
      <c r="C179" s="8" t="str">
        <f aca="false">IFERROR(INDEX('Project Classifications'!$B$2:$B$231,MATCH(B179,'Project Classifications'!$A$2:$A$231,0)),"")</f>
        <v>Data for: Responding to Environmental Uncertainties in Critical Supply Acquisition: An Examination of Contracting for Personal Protective Equipment (PPE) in the Aftermath of COVID-19</v>
      </c>
      <c r="D179" s="8" t="s">
        <v>751</v>
      </c>
      <c r="E179" s="8" t="s">
        <v>562</v>
      </c>
      <c r="F179" s="8" t="s">
        <v>48</v>
      </c>
      <c r="G179" s="8" t="s">
        <v>50</v>
      </c>
      <c r="H179" s="8" t="s">
        <v>49</v>
      </c>
      <c r="I179" s="9" t="n">
        <v>0.125</v>
      </c>
      <c r="J179" s="8" t="s">
        <v>33</v>
      </c>
    </row>
    <row r="180" customFormat="false" ht="15" hidden="false" customHeight="false" outlineLevel="0" collapsed="false">
      <c r="A180" s="8" t="n">
        <v>1450</v>
      </c>
      <c r="B180" s="8" t="n">
        <v>40</v>
      </c>
      <c r="C180" s="8" t="str">
        <f aca="false">IFERROR(INDEX('Project Classifications'!$B$2:$B$231,MATCH(B180,'Project Classifications'!$A$2:$A$231,0)),"")</f>
        <v>Data for: Responding to Environmental Uncertainties in Critical Supply Acquisition: An Examination of Contracting for Personal Protective Equipment (PPE) in the Aftermath of COVID-19</v>
      </c>
      <c r="D180" s="8" t="s">
        <v>752</v>
      </c>
      <c r="E180" s="8" t="s">
        <v>562</v>
      </c>
      <c r="F180" s="8" t="s">
        <v>30</v>
      </c>
      <c r="G180" s="8" t="s">
        <v>32</v>
      </c>
      <c r="H180" s="8" t="s">
        <v>31</v>
      </c>
      <c r="I180" s="9" t="n">
        <v>0.0588235294117647</v>
      </c>
      <c r="J180" s="8" t="s">
        <v>33</v>
      </c>
    </row>
    <row r="181" customFormat="false" ht="15" hidden="false" customHeight="false" outlineLevel="0" collapsed="false">
      <c r="A181" s="8" t="n">
        <v>1451</v>
      </c>
      <c r="B181" s="8" t="n">
        <v>40</v>
      </c>
      <c r="C181" s="8" t="str">
        <f aca="false">IFERROR(INDEX('Project Classifications'!$B$2:$B$231,MATCH(B181,'Project Classifications'!$A$2:$A$231,0)),"")</f>
        <v>Data for: Responding to Environmental Uncertainties in Critical Supply Acquisition: An Examination of Contracting for Personal Protective Equipment (PPE) in the Aftermath of COVID-19</v>
      </c>
      <c r="D181" s="8" t="s">
        <v>753</v>
      </c>
      <c r="E181" s="8" t="s">
        <v>574</v>
      </c>
      <c r="F181" s="8" t="s">
        <v>42</v>
      </c>
      <c r="G181" s="8" t="s">
        <v>44</v>
      </c>
      <c r="H181" s="8" t="s">
        <v>45</v>
      </c>
      <c r="I181" s="9" t="n">
        <v>0.277777777777778</v>
      </c>
      <c r="J181" s="8" t="s">
        <v>33</v>
      </c>
    </row>
    <row r="182" customFormat="false" ht="15" hidden="false" customHeight="false" outlineLevel="0" collapsed="false">
      <c r="A182" s="8" t="n">
        <v>1452</v>
      </c>
      <c r="B182" s="8" t="n">
        <v>41</v>
      </c>
      <c r="C182" s="8" t="str">
        <f aca="false">IFERROR(INDEX('Project Classifications'!$B$2:$B$231,MATCH(B182,'Project Classifications'!$A$2:$A$231,0)),"")</f>
        <v>Data For: Exploring Clinician Expectations and Preferences of Library Subject Guides</v>
      </c>
      <c r="D182" s="8" t="s">
        <v>754</v>
      </c>
      <c r="E182" s="8" t="s">
        <v>562</v>
      </c>
      <c r="F182" s="8" t="s">
        <v>48</v>
      </c>
      <c r="G182" s="8" t="s">
        <v>50</v>
      </c>
      <c r="H182" s="8" t="s">
        <v>49</v>
      </c>
      <c r="I182" s="9" t="n">
        <v>0.1875</v>
      </c>
      <c r="J182" s="8" t="s">
        <v>33</v>
      </c>
    </row>
    <row r="183" customFormat="false" ht="15" hidden="false" customHeight="false" outlineLevel="0" collapsed="false">
      <c r="A183" s="8" t="n">
        <v>1453</v>
      </c>
      <c r="B183" s="8" t="n">
        <v>41</v>
      </c>
      <c r="C183" s="8" t="str">
        <f aca="false">IFERROR(INDEX('Project Classifications'!$B$2:$B$231,MATCH(B183,'Project Classifications'!$A$2:$A$231,0)),"")</f>
        <v>Data For: Exploring Clinician Expectations and Preferences of Library Subject Guides</v>
      </c>
      <c r="D183" s="8" t="s">
        <v>755</v>
      </c>
      <c r="E183" s="8" t="s">
        <v>562</v>
      </c>
      <c r="F183" s="8" t="s">
        <v>42</v>
      </c>
      <c r="G183" s="8" t="s">
        <v>44</v>
      </c>
      <c r="H183" s="8" t="s">
        <v>45</v>
      </c>
      <c r="I183" s="9" t="n">
        <v>0.166666666666667</v>
      </c>
      <c r="J183" s="8" t="s">
        <v>33</v>
      </c>
    </row>
    <row r="184" customFormat="false" ht="15" hidden="false" customHeight="false" outlineLevel="0" collapsed="false">
      <c r="A184" s="8" t="n">
        <v>1454</v>
      </c>
      <c r="B184" s="8" t="n">
        <v>41</v>
      </c>
      <c r="C184" s="8" t="str">
        <f aca="false">IFERROR(INDEX('Project Classifications'!$B$2:$B$231,MATCH(B184,'Project Classifications'!$A$2:$A$231,0)),"")</f>
        <v>Data For: Exploring Clinician Expectations and Preferences of Library Subject Guides</v>
      </c>
      <c r="D184" s="8" t="s">
        <v>756</v>
      </c>
      <c r="E184" s="8" t="s">
        <v>562</v>
      </c>
      <c r="F184" s="8" t="s">
        <v>42</v>
      </c>
      <c r="G184" s="8" t="s">
        <v>44</v>
      </c>
      <c r="H184" s="8" t="s">
        <v>45</v>
      </c>
      <c r="I184" s="9" t="n">
        <v>0.111111111111111</v>
      </c>
      <c r="J184" s="8" t="s">
        <v>33</v>
      </c>
    </row>
    <row r="185" customFormat="false" ht="15" hidden="false" customHeight="false" outlineLevel="0" collapsed="false">
      <c r="A185" s="8" t="n">
        <v>1455</v>
      </c>
      <c r="B185" s="8" t="n">
        <v>41</v>
      </c>
      <c r="C185" s="8" t="str">
        <f aca="false">IFERROR(INDEX('Project Classifications'!$B$2:$B$231,MATCH(B185,'Project Classifications'!$A$2:$A$231,0)),"")</f>
        <v>Data For: Exploring Clinician Expectations and Preferences of Library Subject Guides</v>
      </c>
      <c r="D185" s="8" t="s">
        <v>757</v>
      </c>
      <c r="E185" s="8" t="s">
        <v>562</v>
      </c>
      <c r="F185" s="8" t="s">
        <v>48</v>
      </c>
      <c r="G185" s="8" t="s">
        <v>50</v>
      </c>
      <c r="H185" s="8" t="s">
        <v>49</v>
      </c>
      <c r="I185" s="9" t="n">
        <v>0.125</v>
      </c>
      <c r="J185" s="8" t="s">
        <v>33</v>
      </c>
    </row>
    <row r="186" customFormat="false" ht="15" hidden="false" customHeight="false" outlineLevel="0" collapsed="false">
      <c r="A186" s="8" t="n">
        <v>1467</v>
      </c>
      <c r="B186" s="8" t="n">
        <v>41</v>
      </c>
      <c r="C186" s="8" t="str">
        <f aca="false">IFERROR(INDEX('Project Classifications'!$B$2:$B$231,MATCH(B186,'Project Classifications'!$A$2:$A$231,0)),"")</f>
        <v>Data For: Exploring Clinician Expectations and Preferences of Library Subject Guides</v>
      </c>
      <c r="D186" s="8" t="s">
        <v>758</v>
      </c>
      <c r="E186" s="8" t="s">
        <v>574</v>
      </c>
      <c r="F186" s="8" t="s">
        <v>53</v>
      </c>
      <c r="G186" s="8" t="s">
        <v>55</v>
      </c>
      <c r="H186" s="8" t="s">
        <v>56</v>
      </c>
      <c r="I186" s="9" t="n">
        <v>0.285714285714286</v>
      </c>
      <c r="J186" s="8" t="s">
        <v>33</v>
      </c>
    </row>
    <row r="187" customFormat="false" ht="15" hidden="false" customHeight="false" outlineLevel="0" collapsed="false">
      <c r="A187" s="8" t="n">
        <v>1468</v>
      </c>
      <c r="B187" s="8" t="n">
        <v>42</v>
      </c>
      <c r="C187" s="8" t="str">
        <f aca="false">IFERROR(INDEX('Project Classifications'!$B$2:$B$231,MATCH(B187,'Project Classifications'!$A$2:$A$231,0)),"")</f>
        <v>Data for: Examining the Role of Childhood Experiences in Gender Identity and Expression: An Interpretative Phenomenological Analysis Using Social Learning Theory</v>
      </c>
      <c r="D187" s="8" t="s">
        <v>759</v>
      </c>
      <c r="E187" s="8" t="s">
        <v>562</v>
      </c>
      <c r="F187" s="8" t="s">
        <v>48</v>
      </c>
      <c r="G187" s="8" t="s">
        <v>50</v>
      </c>
      <c r="H187" s="8" t="s">
        <v>49</v>
      </c>
      <c r="I187" s="9" t="n">
        <v>0.125</v>
      </c>
      <c r="J187" s="8" t="s">
        <v>33</v>
      </c>
    </row>
    <row r="188" customFormat="false" ht="15" hidden="false" customHeight="false" outlineLevel="0" collapsed="false">
      <c r="A188" s="8" t="n">
        <v>1469</v>
      </c>
      <c r="B188" s="8" t="n">
        <v>42</v>
      </c>
      <c r="C188" s="8" t="str">
        <f aca="false">IFERROR(INDEX('Project Classifications'!$B$2:$B$231,MATCH(B188,'Project Classifications'!$A$2:$A$231,0)),"")</f>
        <v>Data for: Examining the Role of Childhood Experiences in Gender Identity and Expression: An Interpretative Phenomenological Analysis Using Social Learning Theory</v>
      </c>
      <c r="D188" s="8" t="s">
        <v>760</v>
      </c>
      <c r="E188" s="8" t="s">
        <v>562</v>
      </c>
      <c r="F188" s="8" t="s">
        <v>48</v>
      </c>
      <c r="G188" s="8" t="s">
        <v>50</v>
      </c>
      <c r="H188" s="8" t="s">
        <v>49</v>
      </c>
      <c r="I188" s="9" t="n">
        <v>0.0625</v>
      </c>
      <c r="J188" s="8" t="s">
        <v>33</v>
      </c>
    </row>
    <row r="189" customFormat="false" ht="15" hidden="false" customHeight="false" outlineLevel="0" collapsed="false">
      <c r="A189" s="8" t="n">
        <v>1471</v>
      </c>
      <c r="B189" s="8" t="n">
        <v>42</v>
      </c>
      <c r="C189" s="8" t="str">
        <f aca="false">IFERROR(INDEX('Project Classifications'!$B$2:$B$231,MATCH(B189,'Project Classifications'!$A$2:$A$231,0)),"")</f>
        <v>Data for: Examining the Role of Childhood Experiences in Gender Identity and Expression: An Interpretative Phenomenological Analysis Using Social Learning Theory</v>
      </c>
      <c r="D189" s="8" t="s">
        <v>761</v>
      </c>
      <c r="E189" s="8" t="s">
        <v>574</v>
      </c>
      <c r="F189" s="8" t="s">
        <v>53</v>
      </c>
      <c r="G189" s="8" t="s">
        <v>55</v>
      </c>
      <c r="H189" s="8" t="s">
        <v>56</v>
      </c>
      <c r="I189" s="9" t="n">
        <v>0.285714285714286</v>
      </c>
      <c r="J189" s="8" t="s">
        <v>33</v>
      </c>
    </row>
    <row r="190" customFormat="false" ht="15" hidden="false" customHeight="false" outlineLevel="0" collapsed="false">
      <c r="A190" s="8" t="n">
        <v>1472</v>
      </c>
      <c r="B190" s="8" t="n">
        <v>43</v>
      </c>
      <c r="C190" s="8" t="str">
        <f aca="false">IFERROR(INDEX('Project Classifications'!$B$2:$B$231,MATCH(B190,'Project Classifications'!$A$2:$A$231,0)),"")</f>
        <v>Data for: Exploring the Impact of Education-Based Experiences on Cisgender Children’s Gender through Social Learning Theory</v>
      </c>
      <c r="D190" s="8" t="s">
        <v>762</v>
      </c>
      <c r="E190" s="8" t="s">
        <v>562</v>
      </c>
      <c r="F190" s="8" t="s">
        <v>48</v>
      </c>
      <c r="G190" s="8" t="s">
        <v>50</v>
      </c>
      <c r="H190" s="8" t="s">
        <v>49</v>
      </c>
      <c r="I190" s="9" t="n">
        <v>0.1875</v>
      </c>
      <c r="J190" s="8" t="s">
        <v>33</v>
      </c>
    </row>
    <row r="191" customFormat="false" ht="15" hidden="false" customHeight="false" outlineLevel="0" collapsed="false">
      <c r="A191" s="8" t="n">
        <v>1473</v>
      </c>
      <c r="B191" s="8" t="n">
        <v>43</v>
      </c>
      <c r="C191" s="8" t="str">
        <f aca="false">IFERROR(INDEX('Project Classifications'!$B$2:$B$231,MATCH(B191,'Project Classifications'!$A$2:$A$231,0)),"")</f>
        <v>Data for: Exploring the Impact of Education-Based Experiences on Cisgender Children’s Gender through Social Learning Theory</v>
      </c>
      <c r="D191" s="8" t="s">
        <v>763</v>
      </c>
      <c r="E191" s="8" t="s">
        <v>562</v>
      </c>
      <c r="F191" s="8" t="s">
        <v>48</v>
      </c>
      <c r="G191" s="8" t="s">
        <v>50</v>
      </c>
      <c r="H191" s="8" t="s">
        <v>49</v>
      </c>
      <c r="I191" s="9" t="n">
        <v>0.25</v>
      </c>
      <c r="J191" s="8" t="s">
        <v>33</v>
      </c>
    </row>
    <row r="192" customFormat="false" ht="15" hidden="false" customHeight="false" outlineLevel="0" collapsed="false">
      <c r="A192" s="8" t="n">
        <v>1474</v>
      </c>
      <c r="B192" s="8" t="n">
        <v>43</v>
      </c>
      <c r="C192" s="8" t="str">
        <f aca="false">IFERROR(INDEX('Project Classifications'!$B$2:$B$231,MATCH(B192,'Project Classifications'!$A$2:$A$231,0)),"")</f>
        <v>Data for: Exploring the Impact of Education-Based Experiences on Cisgender Children’s Gender through Social Learning Theory</v>
      </c>
      <c r="D192" s="8" t="s">
        <v>760</v>
      </c>
      <c r="E192" s="8" t="s">
        <v>562</v>
      </c>
      <c r="F192" s="8" t="s">
        <v>48</v>
      </c>
      <c r="G192" s="8" t="s">
        <v>50</v>
      </c>
      <c r="H192" s="8" t="s">
        <v>49</v>
      </c>
      <c r="I192" s="9" t="n">
        <v>0.3125</v>
      </c>
      <c r="J192" s="8" t="s">
        <v>33</v>
      </c>
    </row>
    <row r="193" customFormat="false" ht="15" hidden="false" customHeight="false" outlineLevel="0" collapsed="false">
      <c r="A193" s="8" t="n">
        <v>1475</v>
      </c>
      <c r="B193" s="8" t="n">
        <v>43</v>
      </c>
      <c r="C193" s="8" t="str">
        <f aca="false">IFERROR(INDEX('Project Classifications'!$B$2:$B$231,MATCH(B193,'Project Classifications'!$A$2:$A$231,0)),"")</f>
        <v>Data for: Exploring the Impact of Education-Based Experiences on Cisgender Children’s Gender through Social Learning Theory</v>
      </c>
      <c r="D193" s="8" t="s">
        <v>764</v>
      </c>
      <c r="E193" s="8" t="s">
        <v>562</v>
      </c>
      <c r="F193" s="8" t="s">
        <v>48</v>
      </c>
      <c r="G193" s="8" t="s">
        <v>50</v>
      </c>
      <c r="H193" s="8" t="s">
        <v>49</v>
      </c>
      <c r="I193" s="9" t="n">
        <v>0.25</v>
      </c>
      <c r="J193" s="8" t="s">
        <v>33</v>
      </c>
    </row>
    <row r="194" customFormat="false" ht="15" hidden="false" customHeight="false" outlineLevel="0" collapsed="false">
      <c r="A194" s="8" t="n">
        <v>1476</v>
      </c>
      <c r="B194" s="8" t="n">
        <v>43</v>
      </c>
      <c r="C194" s="8" t="str">
        <f aca="false">IFERROR(INDEX('Project Classifications'!$B$2:$B$231,MATCH(B194,'Project Classifications'!$A$2:$A$231,0)),"")</f>
        <v>Data for: Exploring the Impact of Education-Based Experiences on Cisgender Children’s Gender through Social Learning Theory</v>
      </c>
      <c r="D194" s="8" t="s">
        <v>765</v>
      </c>
      <c r="E194" s="8" t="s">
        <v>562</v>
      </c>
      <c r="F194" s="8" t="s">
        <v>48</v>
      </c>
      <c r="G194" s="8" t="s">
        <v>50</v>
      </c>
      <c r="H194" s="8" t="s">
        <v>49</v>
      </c>
      <c r="I194" s="9" t="n">
        <v>0.25</v>
      </c>
      <c r="J194" s="8" t="s">
        <v>33</v>
      </c>
    </row>
    <row r="195" customFormat="false" ht="15" hidden="false" customHeight="false" outlineLevel="0" collapsed="false">
      <c r="A195" s="8" t="n">
        <v>1480</v>
      </c>
      <c r="B195" s="8" t="n">
        <v>43</v>
      </c>
      <c r="C195" s="8" t="str">
        <f aca="false">IFERROR(INDEX('Project Classifications'!$B$2:$B$231,MATCH(B195,'Project Classifications'!$A$2:$A$231,0)),"")</f>
        <v>Data for: Exploring the Impact of Education-Based Experiences on Cisgender Children’s Gender through Social Learning Theory</v>
      </c>
      <c r="D195" s="8" t="s">
        <v>761</v>
      </c>
      <c r="E195" s="8" t="s">
        <v>574</v>
      </c>
      <c r="F195" s="8" t="s">
        <v>48</v>
      </c>
      <c r="G195" s="8" t="s">
        <v>50</v>
      </c>
      <c r="H195" s="8" t="s">
        <v>49</v>
      </c>
      <c r="I195" s="9" t="n">
        <v>0.25</v>
      </c>
      <c r="J195" s="8" t="s">
        <v>33</v>
      </c>
    </row>
    <row r="196" customFormat="false" ht="15" hidden="false" customHeight="false" outlineLevel="0" collapsed="false">
      <c r="A196" s="8" t="n">
        <v>1481</v>
      </c>
      <c r="B196" s="8" t="n">
        <v>44</v>
      </c>
      <c r="C196" s="8" t="str">
        <f aca="false">IFERROR(INDEX('Project Classifications'!$B$2:$B$231,MATCH(B196,'Project Classifications'!$A$2:$A$231,0)),"")</f>
        <v>Coded Interview Excerpts about Protective Parenting Practices in Dhaka, Bangladesh</v>
      </c>
      <c r="D196" s="8" t="s">
        <v>766</v>
      </c>
      <c r="E196" s="8" t="s">
        <v>562</v>
      </c>
      <c r="F196" s="8" t="s">
        <v>48</v>
      </c>
      <c r="G196" s="8" t="s">
        <v>50</v>
      </c>
      <c r="H196" s="8" t="s">
        <v>49</v>
      </c>
      <c r="I196" s="9" t="n">
        <v>0.125</v>
      </c>
      <c r="J196" s="8" t="s">
        <v>33</v>
      </c>
    </row>
    <row r="197" customFormat="false" ht="15" hidden="false" customHeight="false" outlineLevel="0" collapsed="false">
      <c r="A197" s="8" t="n">
        <v>1482</v>
      </c>
      <c r="B197" s="8" t="n">
        <v>44</v>
      </c>
      <c r="C197" s="8" t="str">
        <f aca="false">IFERROR(INDEX('Project Classifications'!$B$2:$B$231,MATCH(B197,'Project Classifications'!$A$2:$A$231,0)),"")</f>
        <v>Coded Interview Excerpts about Protective Parenting Practices in Dhaka, Bangladesh</v>
      </c>
      <c r="D197" s="8" t="s">
        <v>767</v>
      </c>
      <c r="E197" s="8" t="s">
        <v>562</v>
      </c>
      <c r="F197" s="8" t="s">
        <v>305</v>
      </c>
      <c r="G197" s="8" t="s">
        <v>307</v>
      </c>
      <c r="H197" s="8" t="s">
        <v>306</v>
      </c>
      <c r="I197" s="9" t="n">
        <v>0</v>
      </c>
      <c r="J197" s="8" t="s">
        <v>33</v>
      </c>
    </row>
    <row r="198" customFormat="false" ht="15" hidden="false" customHeight="false" outlineLevel="0" collapsed="false">
      <c r="A198" s="8" t="n">
        <v>1483</v>
      </c>
      <c r="B198" s="8" t="n">
        <v>44</v>
      </c>
      <c r="C198" s="8" t="str">
        <f aca="false">IFERROR(INDEX('Project Classifications'!$B$2:$B$231,MATCH(B198,'Project Classifications'!$A$2:$A$231,0)),"")</f>
        <v>Coded Interview Excerpts about Protective Parenting Practices in Dhaka, Bangladesh</v>
      </c>
      <c r="D198" s="8" t="s">
        <v>768</v>
      </c>
      <c r="E198" s="8" t="s">
        <v>562</v>
      </c>
      <c r="F198" s="8" t="s">
        <v>48</v>
      </c>
      <c r="G198" s="8" t="s">
        <v>50</v>
      </c>
      <c r="H198" s="8" t="s">
        <v>49</v>
      </c>
      <c r="I198" s="9" t="n">
        <v>0.125</v>
      </c>
      <c r="J198" s="8" t="s">
        <v>33</v>
      </c>
    </row>
    <row r="199" customFormat="false" ht="15" hidden="false" customHeight="false" outlineLevel="0" collapsed="false">
      <c r="A199" s="8" t="n">
        <v>1486</v>
      </c>
      <c r="B199" s="8" t="n">
        <v>44</v>
      </c>
      <c r="C199" s="8" t="str">
        <f aca="false">IFERROR(INDEX('Project Classifications'!$B$2:$B$231,MATCH(B199,'Project Classifications'!$A$2:$A$231,0)),"")</f>
        <v>Coded Interview Excerpts about Protective Parenting Practices in Dhaka, Bangladesh</v>
      </c>
      <c r="D199" s="8" t="s">
        <v>769</v>
      </c>
      <c r="E199" s="8" t="s">
        <v>562</v>
      </c>
      <c r="F199" s="8" t="s">
        <v>48</v>
      </c>
      <c r="G199" s="8" t="s">
        <v>50</v>
      </c>
      <c r="H199" s="8" t="s">
        <v>49</v>
      </c>
      <c r="I199" s="9" t="n">
        <v>0.0625</v>
      </c>
      <c r="J199" s="8" t="s">
        <v>33</v>
      </c>
    </row>
    <row r="200" customFormat="false" ht="15" hidden="false" customHeight="false" outlineLevel="0" collapsed="false">
      <c r="A200" s="8" t="n">
        <v>1487</v>
      </c>
      <c r="B200" s="8" t="n">
        <v>44</v>
      </c>
      <c r="C200" s="8" t="str">
        <f aca="false">IFERROR(INDEX('Project Classifications'!$B$2:$B$231,MATCH(B200,'Project Classifications'!$A$2:$A$231,0)),"")</f>
        <v>Coded Interview Excerpts about Protective Parenting Practices in Dhaka, Bangladesh</v>
      </c>
      <c r="D200" s="8" t="s">
        <v>770</v>
      </c>
      <c r="E200" s="8" t="s">
        <v>574</v>
      </c>
      <c r="F200" s="8" t="s">
        <v>53</v>
      </c>
      <c r="G200" s="8" t="s">
        <v>55</v>
      </c>
      <c r="H200" s="8" t="s">
        <v>56</v>
      </c>
      <c r="I200" s="9" t="n">
        <v>0.285714285714286</v>
      </c>
      <c r="J200" s="8" t="s">
        <v>33</v>
      </c>
    </row>
    <row r="201" customFormat="false" ht="15" hidden="false" customHeight="false" outlineLevel="0" collapsed="false">
      <c r="A201" s="8" t="n">
        <v>1488</v>
      </c>
      <c r="B201" s="8" t="n">
        <v>45</v>
      </c>
      <c r="C201" s="8" t="str">
        <f aca="false">IFERROR(INDEX('Project Classifications'!$B$2:$B$231,MATCH(B201,'Project Classifications'!$A$2:$A$231,0)),"")</f>
        <v>A Question of Respect: A Qualitative Text Analysis of Canadian Parliamentary Committee Hearings on PCEPA</v>
      </c>
      <c r="D201" s="8" t="s">
        <v>771</v>
      </c>
      <c r="E201" s="8" t="s">
        <v>574</v>
      </c>
      <c r="F201" s="8" t="s">
        <v>53</v>
      </c>
      <c r="G201" s="8" t="s">
        <v>55</v>
      </c>
      <c r="H201" s="8" t="s">
        <v>56</v>
      </c>
      <c r="I201" s="9" t="n">
        <v>0.142857142857143</v>
      </c>
      <c r="J201" s="8" t="s">
        <v>33</v>
      </c>
    </row>
    <row r="202" customFormat="false" ht="15" hidden="false" customHeight="false" outlineLevel="0" collapsed="false">
      <c r="A202" s="8" t="n">
        <v>1489</v>
      </c>
      <c r="B202" s="8" t="n">
        <v>45</v>
      </c>
      <c r="C202" s="8" t="str">
        <f aca="false">IFERROR(INDEX('Project Classifications'!$B$2:$B$231,MATCH(B202,'Project Classifications'!$A$2:$A$231,0)),"")</f>
        <v>A Question of Respect: A Qualitative Text Analysis of Canadian Parliamentary Committee Hearings on PCEPA</v>
      </c>
      <c r="D202" s="8" t="s">
        <v>772</v>
      </c>
      <c r="E202" s="8" t="s">
        <v>562</v>
      </c>
      <c r="F202" s="8" t="s">
        <v>42</v>
      </c>
      <c r="G202" s="8" t="s">
        <v>44</v>
      </c>
      <c r="H202" s="8" t="s">
        <v>45</v>
      </c>
      <c r="I202" s="9" t="n">
        <v>0.111111111111111</v>
      </c>
      <c r="J202" s="8" t="s">
        <v>33</v>
      </c>
    </row>
    <row r="203" customFormat="false" ht="15" hidden="false" customHeight="false" outlineLevel="0" collapsed="false">
      <c r="A203" s="8" t="n">
        <v>1490</v>
      </c>
      <c r="B203" s="8" t="n">
        <v>45</v>
      </c>
      <c r="C203" s="8" t="str">
        <f aca="false">IFERROR(INDEX('Project Classifications'!$B$2:$B$231,MATCH(B203,'Project Classifications'!$A$2:$A$231,0)),"")</f>
        <v>A Question of Respect: A Qualitative Text Analysis of Canadian Parliamentary Committee Hearings on PCEPA</v>
      </c>
      <c r="D203" s="8" t="s">
        <v>773</v>
      </c>
      <c r="E203" s="8" t="s">
        <v>562</v>
      </c>
      <c r="F203" s="8" t="s">
        <v>30</v>
      </c>
      <c r="G203" s="8" t="s">
        <v>32</v>
      </c>
      <c r="H203" s="8" t="s">
        <v>31</v>
      </c>
      <c r="I203" s="9" t="n">
        <v>0.0588235294117647</v>
      </c>
      <c r="J203" s="8" t="s">
        <v>33</v>
      </c>
    </row>
    <row r="204" customFormat="false" ht="15" hidden="false" customHeight="false" outlineLevel="0" collapsed="false">
      <c r="A204" s="8" t="n">
        <v>1545</v>
      </c>
      <c r="B204" s="8" t="n">
        <v>47</v>
      </c>
      <c r="C204" s="8" t="str">
        <f aca="false">IFERROR(INDEX('Project Classifications'!$B$2:$B$231,MATCH(B204,'Project Classifications'!$A$2:$A$231,0)),"")</f>
        <v>Anticoagulation Therapy on Discharge to Hospice Care</v>
      </c>
      <c r="D204" s="8" t="s">
        <v>774</v>
      </c>
      <c r="E204" s="8" t="s">
        <v>562</v>
      </c>
      <c r="F204" s="8" t="s">
        <v>42</v>
      </c>
      <c r="G204" s="8" t="s">
        <v>44</v>
      </c>
      <c r="H204" s="8" t="s">
        <v>45</v>
      </c>
      <c r="I204" s="9" t="n">
        <v>0.166666666666667</v>
      </c>
      <c r="J204" s="8" t="s">
        <v>33</v>
      </c>
    </row>
    <row r="205" customFormat="false" ht="15" hidden="false" customHeight="false" outlineLevel="0" collapsed="false">
      <c r="A205" s="8" t="n">
        <v>1547</v>
      </c>
      <c r="B205" s="8" t="n">
        <v>47</v>
      </c>
      <c r="C205" s="8" t="str">
        <f aca="false">IFERROR(INDEX('Project Classifications'!$B$2:$B$231,MATCH(B205,'Project Classifications'!$A$2:$A$231,0)),"")</f>
        <v>Anticoagulation Therapy on Discharge to Hospice Care</v>
      </c>
      <c r="D205" s="8" t="s">
        <v>775</v>
      </c>
      <c r="E205" s="8" t="s">
        <v>574</v>
      </c>
      <c r="F205" s="8" t="s">
        <v>53</v>
      </c>
      <c r="G205" s="8" t="s">
        <v>55</v>
      </c>
      <c r="H205" s="8" t="s">
        <v>56</v>
      </c>
      <c r="I205" s="9" t="n">
        <v>0.285714285714286</v>
      </c>
      <c r="J205" s="8" t="s">
        <v>33</v>
      </c>
    </row>
    <row r="206" customFormat="false" ht="15" hidden="false" customHeight="false" outlineLevel="0" collapsed="false">
      <c r="A206" s="8" t="n">
        <v>1548</v>
      </c>
      <c r="B206" s="8" t="n">
        <v>48</v>
      </c>
      <c r="C206" s="8" t="str">
        <f aca="false">IFERROR(INDEX('Project Classifications'!$B$2:$B$231,MATCH(B206,'Project Classifications'!$A$2:$A$231,0)),"")</f>
        <v>Data for: Disability Studies in Social Psychology: Research Directions Informed by a Survey of People with Disabilities</v>
      </c>
      <c r="D206" s="8" t="s">
        <v>776</v>
      </c>
      <c r="E206" s="8" t="s">
        <v>574</v>
      </c>
      <c r="F206" s="8" t="s">
        <v>53</v>
      </c>
      <c r="G206" s="8" t="s">
        <v>55</v>
      </c>
      <c r="H206" s="8" t="s">
        <v>56</v>
      </c>
      <c r="I206" s="9" t="n">
        <v>0.285714285714286</v>
      </c>
      <c r="J206" s="8" t="s">
        <v>33</v>
      </c>
    </row>
    <row r="207" customFormat="false" ht="15" hidden="false" customHeight="false" outlineLevel="0" collapsed="false">
      <c r="A207" s="8" t="n">
        <v>1549</v>
      </c>
      <c r="B207" s="8" t="n">
        <v>48</v>
      </c>
      <c r="C207" s="8" t="str">
        <f aca="false">IFERROR(INDEX('Project Classifications'!$B$2:$B$231,MATCH(B207,'Project Classifications'!$A$2:$A$231,0)),"")</f>
        <v>Data for: Disability Studies in Social Psychology: Research Directions Informed by a Survey of People with Disabilities</v>
      </c>
      <c r="D207" s="8" t="s">
        <v>777</v>
      </c>
      <c r="E207" s="8" t="s">
        <v>778</v>
      </c>
      <c r="F207" s="8" t="s">
        <v>53</v>
      </c>
      <c r="G207" s="8" t="s">
        <v>55</v>
      </c>
      <c r="H207" s="8" t="s">
        <v>56</v>
      </c>
      <c r="I207" s="9" t="n">
        <v>0</v>
      </c>
      <c r="J207" s="8" t="s">
        <v>741</v>
      </c>
    </row>
    <row r="208" customFormat="false" ht="15" hidden="false" customHeight="false" outlineLevel="0" collapsed="false">
      <c r="A208" s="8" t="n">
        <v>1550</v>
      </c>
      <c r="B208" s="8" t="n">
        <v>48</v>
      </c>
      <c r="C208" s="8" t="str">
        <f aca="false">IFERROR(INDEX('Project Classifications'!$B$2:$B$231,MATCH(B208,'Project Classifications'!$A$2:$A$231,0)),"")</f>
        <v>Data for: Disability Studies in Social Psychology: Research Directions Informed by a Survey of People with Disabilities</v>
      </c>
      <c r="D208" s="8" t="s">
        <v>779</v>
      </c>
      <c r="E208" s="8" t="s">
        <v>562</v>
      </c>
      <c r="F208" s="8" t="s">
        <v>42</v>
      </c>
      <c r="G208" s="8" t="s">
        <v>44</v>
      </c>
      <c r="H208" s="8" t="s">
        <v>45</v>
      </c>
      <c r="I208" s="9" t="n">
        <v>0.111111111111111</v>
      </c>
      <c r="J208" s="8" t="s">
        <v>33</v>
      </c>
    </row>
    <row r="209" customFormat="false" ht="15" hidden="false" customHeight="false" outlineLevel="0" collapsed="false">
      <c r="A209" s="8" t="n">
        <v>1552</v>
      </c>
      <c r="B209" s="8" t="n">
        <v>48</v>
      </c>
      <c r="C209" s="8" t="str">
        <f aca="false">IFERROR(INDEX('Project Classifications'!$B$2:$B$231,MATCH(B209,'Project Classifications'!$A$2:$A$231,0)),"")</f>
        <v>Data for: Disability Studies in Social Psychology: Research Directions Informed by a Survey of People with Disabilities</v>
      </c>
      <c r="D209" s="8" t="s">
        <v>780</v>
      </c>
      <c r="E209" s="8" t="s">
        <v>562</v>
      </c>
      <c r="F209" s="8" t="s">
        <v>48</v>
      </c>
      <c r="G209" s="8" t="s">
        <v>50</v>
      </c>
      <c r="H209" s="8" t="s">
        <v>49</v>
      </c>
      <c r="I209" s="9" t="n">
        <v>0.0625</v>
      </c>
      <c r="J209" s="8" t="s">
        <v>33</v>
      </c>
    </row>
    <row r="210" customFormat="false" ht="15" hidden="false" customHeight="false" outlineLevel="0" collapsed="false">
      <c r="A210" s="8" t="n">
        <v>1553</v>
      </c>
      <c r="B210" s="8" t="n">
        <v>49</v>
      </c>
      <c r="C210" s="8" t="str">
        <f aca="false">IFERROR(INDEX('Project Classifications'!$B$2:$B$231,MATCH(B210,'Project Classifications'!$A$2:$A$231,0)),"")</f>
        <v>Data for: Conquer Fear SUPPORT: A Psychosocial Intervention in Patients with Advanced Cancer</v>
      </c>
      <c r="D210" s="8" t="s">
        <v>781</v>
      </c>
      <c r="E210" s="8" t="s">
        <v>574</v>
      </c>
      <c r="F210" s="8" t="s">
        <v>42</v>
      </c>
      <c r="G210" s="8" t="s">
        <v>44</v>
      </c>
      <c r="H210" s="8" t="s">
        <v>45</v>
      </c>
      <c r="I210" s="9" t="n">
        <v>0.166666666666667</v>
      </c>
      <c r="J210" s="8" t="s">
        <v>33</v>
      </c>
    </row>
    <row r="211" customFormat="false" ht="15" hidden="false" customHeight="false" outlineLevel="0" collapsed="false">
      <c r="A211" s="8" t="n">
        <v>1554</v>
      </c>
      <c r="B211" s="8" t="n">
        <v>49</v>
      </c>
      <c r="C211" s="8" t="str">
        <f aca="false">IFERROR(INDEX('Project Classifications'!$B$2:$B$231,MATCH(B211,'Project Classifications'!$A$2:$A$231,0)),"")</f>
        <v>Data for: Conquer Fear SUPPORT: A Psychosocial Intervention in Patients with Advanced Cancer</v>
      </c>
      <c r="D211" s="8" t="s">
        <v>782</v>
      </c>
      <c r="E211" s="8" t="s">
        <v>562</v>
      </c>
      <c r="F211" s="8" t="s">
        <v>42</v>
      </c>
      <c r="G211" s="8" t="s">
        <v>44</v>
      </c>
      <c r="H211" s="8" t="s">
        <v>45</v>
      </c>
      <c r="I211" s="9" t="n">
        <v>0.166666666666667</v>
      </c>
      <c r="J211" s="8" t="s">
        <v>33</v>
      </c>
    </row>
    <row r="212" customFormat="false" ht="15" hidden="false" customHeight="false" outlineLevel="0" collapsed="false">
      <c r="A212" s="8" t="n">
        <v>1577</v>
      </c>
      <c r="B212" s="8" t="n">
        <v>50</v>
      </c>
      <c r="C212" s="8" t="str">
        <f aca="false">IFERROR(INDEX('Project Classifications'!$B$2:$B$231,MATCH(B212,'Project Classifications'!$A$2:$A$231,0)),"")</f>
        <v>Data for “Registered Nurses’ Perceptions of Family Caregivers to Patients with Heart Failure: A Focus Group Interview Study.”</v>
      </c>
      <c r="D212" s="8" t="s">
        <v>783</v>
      </c>
      <c r="E212" s="8" t="s">
        <v>574</v>
      </c>
      <c r="F212" s="8" t="s">
        <v>42</v>
      </c>
      <c r="G212" s="8" t="s">
        <v>44</v>
      </c>
      <c r="H212" s="8" t="s">
        <v>45</v>
      </c>
      <c r="I212" s="9" t="n">
        <v>0.222222222222222</v>
      </c>
      <c r="J212" s="8" t="s">
        <v>33</v>
      </c>
    </row>
    <row r="213" customFormat="false" ht="15" hidden="false" customHeight="false" outlineLevel="0" collapsed="false">
      <c r="A213" s="8" t="n">
        <v>1580</v>
      </c>
      <c r="B213" s="8" t="n">
        <v>50</v>
      </c>
      <c r="C213" s="8" t="str">
        <f aca="false">IFERROR(INDEX('Project Classifications'!$B$2:$B$231,MATCH(B213,'Project Classifications'!$A$2:$A$231,0)),"")</f>
        <v>Data for “Registered Nurses’ Perceptions of Family Caregivers to Patients with Heart Failure: A Focus Group Interview Study.”</v>
      </c>
      <c r="D213" s="8" t="s">
        <v>784</v>
      </c>
      <c r="E213" s="8" t="s">
        <v>562</v>
      </c>
      <c r="F213" s="8" t="s">
        <v>42</v>
      </c>
      <c r="G213" s="8" t="s">
        <v>44</v>
      </c>
      <c r="H213" s="8" t="s">
        <v>45</v>
      </c>
      <c r="I213" s="9" t="n">
        <v>0.0555555555555556</v>
      </c>
      <c r="J213" s="8" t="s">
        <v>33</v>
      </c>
    </row>
    <row r="214" customFormat="false" ht="15" hidden="false" customHeight="false" outlineLevel="0" collapsed="false">
      <c r="A214" s="8" t="n">
        <v>1581</v>
      </c>
      <c r="B214" s="8" t="n">
        <v>50</v>
      </c>
      <c r="C214" s="8" t="str">
        <f aca="false">IFERROR(INDEX('Project Classifications'!$B$2:$B$231,MATCH(B214,'Project Classifications'!$A$2:$A$231,0)),"")</f>
        <v>Data for “Registered Nurses’ Perceptions of Family Caregivers to Patients with Heart Failure: A Focus Group Interview Study.”</v>
      </c>
      <c r="D214" s="8" t="s">
        <v>785</v>
      </c>
      <c r="E214" s="8" t="s">
        <v>562</v>
      </c>
      <c r="F214" s="8" t="s">
        <v>305</v>
      </c>
      <c r="G214" s="8" t="s">
        <v>307</v>
      </c>
      <c r="H214" s="8" t="s">
        <v>306</v>
      </c>
      <c r="I214" s="9" t="n">
        <v>0</v>
      </c>
      <c r="J214" s="8" t="s">
        <v>33</v>
      </c>
    </row>
    <row r="215" customFormat="false" ht="15" hidden="false" customHeight="false" outlineLevel="0" collapsed="false">
      <c r="A215" s="8" t="n">
        <v>1582</v>
      </c>
      <c r="B215" s="8" t="n">
        <v>51</v>
      </c>
      <c r="C215" s="8" t="str">
        <f aca="false">IFERROR(INDEX('Project Classifications'!$B$2:$B$231,MATCH(B215,'Project Classifications'!$A$2:$A$231,0)),"")</f>
        <v>Data for: 'Chronic Disease Stigma, Skepticism of the Health System, and Socio-economic Fragility: Qualitative Assessment of Factors Impacting Receptiveness to Group Medical Visits and Microfinance for Non-communicable Disease Care in Rural Kenya'</v>
      </c>
      <c r="D215" s="8" t="s">
        <v>786</v>
      </c>
      <c r="E215" s="8" t="s">
        <v>574</v>
      </c>
      <c r="F215" s="8" t="s">
        <v>42</v>
      </c>
      <c r="G215" s="8" t="s">
        <v>44</v>
      </c>
      <c r="H215" s="8" t="s">
        <v>45</v>
      </c>
      <c r="I215" s="9" t="n">
        <v>0.222222222222222</v>
      </c>
      <c r="J215" s="8" t="s">
        <v>33</v>
      </c>
    </row>
    <row r="216" customFormat="false" ht="15" hidden="false" customHeight="false" outlineLevel="0" collapsed="false">
      <c r="A216" s="8" t="n">
        <v>1583</v>
      </c>
      <c r="B216" s="8" t="n">
        <v>51</v>
      </c>
      <c r="C216" s="8" t="str">
        <f aca="false">IFERROR(INDEX('Project Classifications'!$B$2:$B$231,MATCH(B216,'Project Classifications'!$A$2:$A$231,0)),"")</f>
        <v>Data for: 'Chronic Disease Stigma, Skepticism of the Health System, and Socio-economic Fragility: Qualitative Assessment of Factors Impacting Receptiveness to Group Medical Visits and Microfinance for Non-communicable Disease Care in Rural Kenya'</v>
      </c>
      <c r="D216" s="8" t="s">
        <v>787</v>
      </c>
      <c r="E216" s="8" t="s">
        <v>562</v>
      </c>
      <c r="F216" s="8" t="s">
        <v>42</v>
      </c>
      <c r="G216" s="8" t="s">
        <v>44</v>
      </c>
      <c r="H216" s="8" t="s">
        <v>45</v>
      </c>
      <c r="I216" s="9" t="n">
        <v>0.222222222222222</v>
      </c>
      <c r="J216" s="8" t="s">
        <v>33</v>
      </c>
    </row>
    <row r="217" customFormat="false" ht="15" hidden="false" customHeight="false" outlineLevel="0" collapsed="false">
      <c r="A217" s="8" t="n">
        <v>1584</v>
      </c>
      <c r="B217" s="8" t="n">
        <v>51</v>
      </c>
      <c r="C217" s="8" t="str">
        <f aca="false">IFERROR(INDEX('Project Classifications'!$B$2:$B$231,MATCH(B217,'Project Classifications'!$A$2:$A$231,0)),"")</f>
        <v>Data for: 'Chronic Disease Stigma, Skepticism of the Health System, and Socio-economic Fragility: Qualitative Assessment of Factors Impacting Receptiveness to Group Medical Visits and Microfinance for Non-communicable Disease Care in Rural Kenya'</v>
      </c>
      <c r="D217" s="8" t="s">
        <v>788</v>
      </c>
      <c r="E217" s="8" t="s">
        <v>562</v>
      </c>
      <c r="F217" s="8" t="s">
        <v>42</v>
      </c>
      <c r="G217" s="8" t="s">
        <v>44</v>
      </c>
      <c r="H217" s="8" t="s">
        <v>45</v>
      </c>
      <c r="I217" s="9" t="n">
        <v>0.222222222222222</v>
      </c>
      <c r="J217" s="8" t="s">
        <v>33</v>
      </c>
    </row>
    <row r="218" customFormat="false" ht="15" hidden="false" customHeight="false" outlineLevel="0" collapsed="false">
      <c r="A218" s="8" t="n">
        <v>1586</v>
      </c>
      <c r="B218" s="8" t="n">
        <v>51</v>
      </c>
      <c r="C218" s="8" t="str">
        <f aca="false">IFERROR(INDEX('Project Classifications'!$B$2:$B$231,MATCH(B218,'Project Classifications'!$A$2:$A$231,0)),"")</f>
        <v>Data for: 'Chronic Disease Stigma, Skepticism of the Health System, and Socio-economic Fragility: Qualitative Assessment of Factors Impacting Receptiveness to Group Medical Visits and Microfinance for Non-communicable Disease Care in Rural Kenya'</v>
      </c>
      <c r="D218" s="8" t="s">
        <v>789</v>
      </c>
      <c r="E218" s="8" t="s">
        <v>562</v>
      </c>
      <c r="F218" s="8" t="s">
        <v>42</v>
      </c>
      <c r="G218" s="8" t="s">
        <v>44</v>
      </c>
      <c r="H218" s="8" t="s">
        <v>45</v>
      </c>
      <c r="I218" s="9" t="n">
        <v>0.222222222222222</v>
      </c>
      <c r="J218" s="8" t="s">
        <v>33</v>
      </c>
    </row>
    <row r="219" customFormat="false" ht="15" hidden="false" customHeight="false" outlineLevel="0" collapsed="false">
      <c r="A219" s="8" t="n">
        <v>1615</v>
      </c>
      <c r="B219" s="8" t="n">
        <v>53</v>
      </c>
      <c r="C219" s="8" t="str">
        <f aca="false">IFERROR(INDEX('Project Classifications'!$B$2:$B$231,MATCH(B219,'Project Classifications'!$A$2:$A$231,0)),"")</f>
        <v>Marine Corps Staff Noncommissioned Officer Enlisted Education Project</v>
      </c>
      <c r="D219" s="8" t="s">
        <v>790</v>
      </c>
      <c r="E219" s="8" t="s">
        <v>562</v>
      </c>
      <c r="F219" s="8" t="s">
        <v>48</v>
      </c>
      <c r="G219" s="8" t="s">
        <v>50</v>
      </c>
      <c r="H219" s="8" t="s">
        <v>49</v>
      </c>
      <c r="I219" s="9" t="n">
        <v>0.3125</v>
      </c>
      <c r="J219" s="8" t="s">
        <v>33</v>
      </c>
    </row>
    <row r="220" customFormat="false" ht="15" hidden="false" customHeight="false" outlineLevel="0" collapsed="false">
      <c r="A220" s="8" t="n">
        <v>1623</v>
      </c>
      <c r="B220" s="8" t="n">
        <v>53</v>
      </c>
      <c r="C220" s="8" t="str">
        <f aca="false">IFERROR(INDEX('Project Classifications'!$B$2:$B$231,MATCH(B220,'Project Classifications'!$A$2:$A$231,0)),"")</f>
        <v>Marine Corps Staff Noncommissioned Officer Enlisted Education Project</v>
      </c>
      <c r="D220" s="8" t="s">
        <v>791</v>
      </c>
      <c r="E220" s="8" t="s">
        <v>562</v>
      </c>
      <c r="F220" s="8" t="s">
        <v>48</v>
      </c>
      <c r="G220" s="8" t="s">
        <v>50</v>
      </c>
      <c r="H220" s="8" t="s">
        <v>49</v>
      </c>
      <c r="I220" s="9" t="n">
        <v>0.25</v>
      </c>
      <c r="J220" s="8" t="s">
        <v>33</v>
      </c>
    </row>
    <row r="221" customFormat="false" ht="15" hidden="false" customHeight="false" outlineLevel="0" collapsed="false">
      <c r="A221" s="8" t="n">
        <v>1626</v>
      </c>
      <c r="B221" s="8" t="n">
        <v>53</v>
      </c>
      <c r="C221" s="8" t="str">
        <f aca="false">IFERROR(INDEX('Project Classifications'!$B$2:$B$231,MATCH(B221,'Project Classifications'!$A$2:$A$231,0)),"")</f>
        <v>Marine Corps Staff Noncommissioned Officer Enlisted Education Project</v>
      </c>
      <c r="D221" s="8" t="s">
        <v>792</v>
      </c>
      <c r="E221" s="8" t="s">
        <v>562</v>
      </c>
      <c r="F221" s="8" t="s">
        <v>48</v>
      </c>
      <c r="G221" s="8" t="s">
        <v>50</v>
      </c>
      <c r="H221" s="8" t="s">
        <v>49</v>
      </c>
      <c r="I221" s="9" t="n">
        <v>0.25</v>
      </c>
      <c r="J221" s="8" t="s">
        <v>33</v>
      </c>
    </row>
    <row r="222" customFormat="false" ht="15" hidden="false" customHeight="false" outlineLevel="0" collapsed="false">
      <c r="A222" s="8" t="n">
        <v>1634</v>
      </c>
      <c r="B222" s="8" t="n">
        <v>53</v>
      </c>
      <c r="C222" s="8" t="str">
        <f aca="false">IFERROR(INDEX('Project Classifications'!$B$2:$B$231,MATCH(B222,'Project Classifications'!$A$2:$A$231,0)),"")</f>
        <v>Marine Corps Staff Noncommissioned Officer Enlisted Education Project</v>
      </c>
      <c r="D222" s="8" t="s">
        <v>793</v>
      </c>
      <c r="E222" s="8" t="s">
        <v>562</v>
      </c>
      <c r="F222" s="8" t="s">
        <v>48</v>
      </c>
      <c r="G222" s="8" t="s">
        <v>50</v>
      </c>
      <c r="H222" s="8" t="s">
        <v>49</v>
      </c>
      <c r="I222" s="9" t="n">
        <v>0.3125</v>
      </c>
      <c r="J222" s="8" t="s">
        <v>33</v>
      </c>
    </row>
    <row r="223" customFormat="false" ht="15" hidden="false" customHeight="false" outlineLevel="0" collapsed="false">
      <c r="A223" s="8" t="n">
        <v>1638</v>
      </c>
      <c r="B223" s="8" t="n">
        <v>53</v>
      </c>
      <c r="C223" s="8" t="str">
        <f aca="false">IFERROR(INDEX('Project Classifications'!$B$2:$B$231,MATCH(B223,'Project Classifications'!$A$2:$A$231,0)),"")</f>
        <v>Marine Corps Staff Noncommissioned Officer Enlisted Education Project</v>
      </c>
      <c r="D223" s="8" t="s">
        <v>714</v>
      </c>
      <c r="E223" s="8" t="s">
        <v>574</v>
      </c>
      <c r="F223" s="8" t="s">
        <v>53</v>
      </c>
      <c r="G223" s="8" t="s">
        <v>55</v>
      </c>
      <c r="H223" s="8" t="s">
        <v>56</v>
      </c>
      <c r="I223" s="9" t="n">
        <v>0.285714285714286</v>
      </c>
      <c r="J223" s="8" t="s">
        <v>33</v>
      </c>
    </row>
    <row r="224" customFormat="false" ht="15" hidden="false" customHeight="false" outlineLevel="0" collapsed="false">
      <c r="A224" s="8" t="n">
        <v>1640</v>
      </c>
      <c r="B224" s="8" t="n">
        <v>54</v>
      </c>
      <c r="C224" s="8" t="str">
        <f aca="false">IFERROR(INDEX('Project Classifications'!$B$2:$B$231,MATCH(B224,'Project Classifications'!$A$2:$A$231,0)),"")</f>
        <v>Data for: Exploring sources of insecurity for Ethiopian Oromo and Somali women who have given birth in Kakuma Refugee Camp: A qualitative study</v>
      </c>
      <c r="D224" s="8" t="s">
        <v>794</v>
      </c>
      <c r="E224" s="8" t="s">
        <v>574</v>
      </c>
      <c r="F224" s="8" t="s">
        <v>42</v>
      </c>
      <c r="G224" s="8" t="s">
        <v>44</v>
      </c>
      <c r="H224" s="8" t="s">
        <v>45</v>
      </c>
      <c r="I224" s="9" t="n">
        <v>0.166666666666667</v>
      </c>
      <c r="J224" s="8" t="s">
        <v>33</v>
      </c>
    </row>
    <row r="225" customFormat="false" ht="15" hidden="false" customHeight="false" outlineLevel="0" collapsed="false">
      <c r="A225" s="8" t="n">
        <v>1641</v>
      </c>
      <c r="B225" s="8" t="n">
        <v>55</v>
      </c>
      <c r="C225" s="8" t="str">
        <f aca="false">IFERROR(INDEX('Project Classifications'!$B$2:$B$231,MATCH(B225,'Project Classifications'!$A$2:$A$231,0)),"")</f>
        <v>So What Is Relationship Quality? A Multi-Country Investigation into the Conceptualization and Measurement of Relationship Quality</v>
      </c>
      <c r="D225" s="8" t="s">
        <v>795</v>
      </c>
      <c r="E225" s="8" t="s">
        <v>574</v>
      </c>
      <c r="F225" s="8" t="s">
        <v>53</v>
      </c>
      <c r="G225" s="8" t="s">
        <v>55</v>
      </c>
      <c r="H225" s="8" t="s">
        <v>56</v>
      </c>
      <c r="I225" s="9" t="n">
        <v>0.142857142857143</v>
      </c>
      <c r="J225" s="8" t="s">
        <v>33</v>
      </c>
    </row>
    <row r="226" customFormat="false" ht="15" hidden="false" customHeight="false" outlineLevel="0" collapsed="false">
      <c r="A226" s="8" t="n">
        <v>1665</v>
      </c>
      <c r="B226" s="8" t="n">
        <v>55</v>
      </c>
      <c r="C226" s="8" t="str">
        <f aca="false">IFERROR(INDEX('Project Classifications'!$B$2:$B$231,MATCH(B226,'Project Classifications'!$A$2:$A$231,0)),"")</f>
        <v>So What Is Relationship Quality? A Multi-Country Investigation into the Conceptualization and Measurement of Relationship Quality</v>
      </c>
      <c r="D226" s="8" t="s">
        <v>796</v>
      </c>
      <c r="E226" s="8" t="s">
        <v>562</v>
      </c>
      <c r="F226" s="8" t="s">
        <v>71</v>
      </c>
      <c r="G226" s="8" t="s">
        <v>83</v>
      </c>
      <c r="H226" s="8" t="s">
        <v>84</v>
      </c>
      <c r="I226" s="9" t="n">
        <v>0.25</v>
      </c>
      <c r="J226" s="8" t="s">
        <v>33</v>
      </c>
    </row>
    <row r="227" customFormat="false" ht="15" hidden="false" customHeight="false" outlineLevel="0" collapsed="false">
      <c r="A227" s="8" t="n">
        <v>1666</v>
      </c>
      <c r="B227" s="8" t="n">
        <v>55</v>
      </c>
      <c r="C227" s="8" t="str">
        <f aca="false">IFERROR(INDEX('Project Classifications'!$B$2:$B$231,MATCH(B227,'Project Classifications'!$A$2:$A$231,0)),"")</f>
        <v>So What Is Relationship Quality? A Multi-Country Investigation into the Conceptualization and Measurement of Relationship Quality</v>
      </c>
      <c r="D227" s="8" t="s">
        <v>797</v>
      </c>
      <c r="E227" s="8" t="s">
        <v>600</v>
      </c>
      <c r="F227" s="8" t="s">
        <v>305</v>
      </c>
      <c r="G227" s="8" t="s">
        <v>307</v>
      </c>
      <c r="H227" s="8" t="s">
        <v>306</v>
      </c>
      <c r="I227" s="9" t="n">
        <v>0</v>
      </c>
      <c r="J227" s="8" t="s">
        <v>33</v>
      </c>
    </row>
    <row r="228" customFormat="false" ht="15" hidden="false" customHeight="false" outlineLevel="0" collapsed="false">
      <c r="A228" s="8" t="n">
        <v>1701</v>
      </c>
      <c r="B228" s="8" t="n">
        <v>55</v>
      </c>
      <c r="C228" s="8" t="str">
        <f aca="false">IFERROR(INDEX('Project Classifications'!$B$2:$B$231,MATCH(B228,'Project Classifications'!$A$2:$A$231,0)),"")</f>
        <v>So What Is Relationship Quality? A Multi-Country Investigation into the Conceptualization and Measurement of Relationship Quality</v>
      </c>
      <c r="D228" s="8" t="s">
        <v>798</v>
      </c>
      <c r="E228" s="8" t="s">
        <v>562</v>
      </c>
      <c r="F228" s="8" t="s">
        <v>71</v>
      </c>
      <c r="G228" s="8" t="s">
        <v>83</v>
      </c>
      <c r="H228" s="8" t="s">
        <v>84</v>
      </c>
      <c r="I228" s="9" t="n">
        <v>0.25</v>
      </c>
      <c r="J228" s="8" t="s">
        <v>33</v>
      </c>
    </row>
    <row r="229" customFormat="false" ht="15" hidden="false" customHeight="false" outlineLevel="0" collapsed="false">
      <c r="A229" s="8" t="n">
        <v>1702</v>
      </c>
      <c r="B229" s="8" t="n">
        <v>55</v>
      </c>
      <c r="C229" s="8" t="str">
        <f aca="false">IFERROR(INDEX('Project Classifications'!$B$2:$B$231,MATCH(B229,'Project Classifications'!$A$2:$A$231,0)),"")</f>
        <v>So What Is Relationship Quality? A Multi-Country Investigation into the Conceptualization and Measurement of Relationship Quality</v>
      </c>
      <c r="D229" s="8" t="s">
        <v>799</v>
      </c>
      <c r="E229" s="8" t="s">
        <v>562</v>
      </c>
      <c r="F229" s="8" t="s">
        <v>305</v>
      </c>
      <c r="G229" s="8" t="s">
        <v>307</v>
      </c>
      <c r="H229" s="8" t="s">
        <v>306</v>
      </c>
      <c r="I229" s="9" t="n">
        <v>0</v>
      </c>
      <c r="J229" s="8" t="s">
        <v>33</v>
      </c>
    </row>
    <row r="230" customFormat="false" ht="15" hidden="false" customHeight="false" outlineLevel="0" collapsed="false">
      <c r="A230" s="8" t="n">
        <v>1703</v>
      </c>
      <c r="B230" s="8" t="n">
        <v>55</v>
      </c>
      <c r="C230" s="8" t="str">
        <f aca="false">IFERROR(INDEX('Project Classifications'!$B$2:$B$231,MATCH(B230,'Project Classifications'!$A$2:$A$231,0)),"")</f>
        <v>So What Is Relationship Quality? A Multi-Country Investigation into the Conceptualization and Measurement of Relationship Quality</v>
      </c>
      <c r="D230" s="8" t="s">
        <v>800</v>
      </c>
      <c r="E230" s="8" t="s">
        <v>778</v>
      </c>
      <c r="F230" s="8" t="s">
        <v>53</v>
      </c>
      <c r="G230" s="8" t="s">
        <v>55</v>
      </c>
      <c r="H230" s="8" t="s">
        <v>56</v>
      </c>
      <c r="I230" s="9" t="n">
        <v>0</v>
      </c>
      <c r="J230" s="8" t="s">
        <v>741</v>
      </c>
    </row>
    <row r="231" customFormat="false" ht="15" hidden="false" customHeight="false" outlineLevel="0" collapsed="false">
      <c r="A231" s="8" t="n">
        <v>1765</v>
      </c>
      <c r="B231" s="8" t="n">
        <v>55</v>
      </c>
      <c r="C231" s="8" t="str">
        <f aca="false">IFERROR(INDEX('Project Classifications'!$B$2:$B$231,MATCH(B231,'Project Classifications'!$A$2:$A$231,0)),"")</f>
        <v>So What Is Relationship Quality? A Multi-Country Investigation into the Conceptualization and Measurement of Relationship Quality</v>
      </c>
      <c r="D231" s="8" t="s">
        <v>801</v>
      </c>
      <c r="E231" s="8" t="s">
        <v>778</v>
      </c>
      <c r="F231" s="8" t="s">
        <v>53</v>
      </c>
      <c r="G231" s="8" t="s">
        <v>55</v>
      </c>
      <c r="H231" s="8" t="s">
        <v>56</v>
      </c>
      <c r="I231" s="9" t="n">
        <v>0</v>
      </c>
      <c r="J231" s="8" t="s">
        <v>741</v>
      </c>
    </row>
    <row r="232" customFormat="false" ht="15" hidden="false" customHeight="false" outlineLevel="0" collapsed="false">
      <c r="A232" s="8" t="n">
        <v>1766</v>
      </c>
      <c r="B232" s="8" t="n">
        <v>55</v>
      </c>
      <c r="C232" s="8" t="str">
        <f aca="false">IFERROR(INDEX('Project Classifications'!$B$2:$B$231,MATCH(B232,'Project Classifications'!$A$2:$A$231,0)),"")</f>
        <v>So What Is Relationship Quality? A Multi-Country Investigation into the Conceptualization and Measurement of Relationship Quality</v>
      </c>
      <c r="D232" s="8" t="s">
        <v>802</v>
      </c>
      <c r="E232" s="8" t="s">
        <v>562</v>
      </c>
      <c r="F232" s="8" t="s">
        <v>48</v>
      </c>
      <c r="G232" s="8" t="s">
        <v>50</v>
      </c>
      <c r="H232" s="8" t="s">
        <v>49</v>
      </c>
      <c r="I232" s="9" t="n">
        <v>0.125</v>
      </c>
      <c r="J232" s="8" t="s">
        <v>33</v>
      </c>
    </row>
    <row r="233" customFormat="false" ht="15" hidden="false" customHeight="false" outlineLevel="0" collapsed="false">
      <c r="A233" s="8" t="n">
        <v>1848</v>
      </c>
      <c r="B233" s="8" t="n">
        <v>56</v>
      </c>
      <c r="C233" s="8" t="str">
        <f aca="false">IFERROR(INDEX('Project Classifications'!$B$2:$B$231,MATCH(B233,'Project Classifications'!$A$2:$A$231,0)),"")</f>
        <v>Data for: The Experience of Orthorexia from the Perspective of Recovered Orthorexics</v>
      </c>
      <c r="D233" s="8" t="s">
        <v>803</v>
      </c>
      <c r="E233" s="8" t="s">
        <v>562</v>
      </c>
      <c r="F233" s="8" t="s">
        <v>48</v>
      </c>
      <c r="G233" s="8" t="s">
        <v>50</v>
      </c>
      <c r="H233" s="8" t="s">
        <v>49</v>
      </c>
      <c r="I233" s="9" t="n">
        <v>0.0625</v>
      </c>
      <c r="J233" s="8" t="s">
        <v>33</v>
      </c>
    </row>
    <row r="234" customFormat="false" ht="15" hidden="false" customHeight="false" outlineLevel="0" collapsed="false">
      <c r="A234" s="8" t="n">
        <v>1850</v>
      </c>
      <c r="B234" s="8" t="n">
        <v>56</v>
      </c>
      <c r="C234" s="8" t="str">
        <f aca="false">IFERROR(INDEX('Project Classifications'!$B$2:$B$231,MATCH(B234,'Project Classifications'!$A$2:$A$231,0)),"")</f>
        <v>Data for: The Experience of Orthorexia from the Perspective of Recovered Orthorexics</v>
      </c>
      <c r="D234" s="8" t="s">
        <v>804</v>
      </c>
      <c r="E234" s="8" t="s">
        <v>562</v>
      </c>
      <c r="F234" s="8" t="s">
        <v>42</v>
      </c>
      <c r="G234" s="8" t="s">
        <v>44</v>
      </c>
      <c r="H234" s="8" t="s">
        <v>45</v>
      </c>
      <c r="I234" s="9" t="n">
        <v>0.0555555555555556</v>
      </c>
      <c r="J234" s="8" t="s">
        <v>33</v>
      </c>
    </row>
    <row r="235" customFormat="false" ht="15" hidden="false" customHeight="false" outlineLevel="0" collapsed="false">
      <c r="A235" s="8" t="n">
        <v>1851</v>
      </c>
      <c r="B235" s="8" t="n">
        <v>56</v>
      </c>
      <c r="C235" s="8" t="str">
        <f aca="false">IFERROR(INDEX('Project Classifications'!$B$2:$B$231,MATCH(B235,'Project Classifications'!$A$2:$A$231,0)),"")</f>
        <v>Data for: The Experience of Orthorexia from the Perspective of Recovered Orthorexics</v>
      </c>
      <c r="D235" s="8" t="s">
        <v>805</v>
      </c>
      <c r="E235" s="8" t="s">
        <v>562</v>
      </c>
      <c r="F235" s="8" t="s">
        <v>305</v>
      </c>
      <c r="G235" s="8" t="s">
        <v>307</v>
      </c>
      <c r="H235" s="8" t="s">
        <v>306</v>
      </c>
      <c r="I235" s="9" t="n">
        <v>0</v>
      </c>
      <c r="J235" s="8" t="s">
        <v>33</v>
      </c>
    </row>
    <row r="236" customFormat="false" ht="15" hidden="false" customHeight="false" outlineLevel="0" collapsed="false">
      <c r="A236" s="8" t="n">
        <v>1852</v>
      </c>
      <c r="B236" s="8" t="n">
        <v>56</v>
      </c>
      <c r="C236" s="8" t="str">
        <f aca="false">IFERROR(INDEX('Project Classifications'!$B$2:$B$231,MATCH(B236,'Project Classifications'!$A$2:$A$231,0)),"")</f>
        <v>Data for: The Experience of Orthorexia from the Perspective of Recovered Orthorexics</v>
      </c>
      <c r="D236" s="8" t="s">
        <v>806</v>
      </c>
      <c r="E236" s="8" t="s">
        <v>574</v>
      </c>
      <c r="F236" s="8" t="s">
        <v>53</v>
      </c>
      <c r="G236" s="8" t="s">
        <v>55</v>
      </c>
      <c r="H236" s="8" t="s">
        <v>56</v>
      </c>
      <c r="I236" s="9" t="n">
        <v>0.285714285714286</v>
      </c>
      <c r="J236" s="8" t="s">
        <v>33</v>
      </c>
    </row>
    <row r="237" customFormat="false" ht="15" hidden="false" customHeight="false" outlineLevel="0" collapsed="false">
      <c r="A237" s="8" t="n">
        <v>1853</v>
      </c>
      <c r="B237" s="8" t="n">
        <v>57</v>
      </c>
      <c r="C237" s="8" t="str">
        <f aca="false">IFERROR(INDEX('Project Classifications'!$B$2:$B$231,MATCH(B237,'Project Classifications'!$A$2:$A$231,0)),"")</f>
        <v>Data for: From legal doctrine to social transformation? Comparing U.S. voting rights, equal employment opportunity, and fair housing legislation</v>
      </c>
      <c r="D237" s="8" t="s">
        <v>653</v>
      </c>
      <c r="E237" s="8" t="s">
        <v>654</v>
      </c>
      <c r="F237" s="8" t="s">
        <v>53</v>
      </c>
      <c r="G237" s="8" t="s">
        <v>55</v>
      </c>
      <c r="H237" s="8" t="s">
        <v>56</v>
      </c>
      <c r="I237" s="9" t="n">
        <v>0.142857142857143</v>
      </c>
      <c r="J237" s="8" t="s">
        <v>33</v>
      </c>
    </row>
    <row r="238" customFormat="false" ht="15" hidden="false" customHeight="false" outlineLevel="0" collapsed="false">
      <c r="A238" s="8" t="n">
        <v>1859</v>
      </c>
      <c r="B238" s="8" t="n">
        <v>57</v>
      </c>
      <c r="C238" s="8" t="str">
        <f aca="false">IFERROR(INDEX('Project Classifications'!$B$2:$B$231,MATCH(B238,'Project Classifications'!$A$2:$A$231,0)),"")</f>
        <v>Data for: From legal doctrine to social transformation? Comparing U.S. voting rights, equal employment opportunity, and fair housing legislation</v>
      </c>
      <c r="D238" s="8" t="s">
        <v>807</v>
      </c>
      <c r="E238" s="8" t="s">
        <v>562</v>
      </c>
      <c r="F238" s="8" t="s">
        <v>71</v>
      </c>
      <c r="G238" s="8" t="s">
        <v>83</v>
      </c>
      <c r="H238" s="8" t="s">
        <v>84</v>
      </c>
      <c r="I238" s="9" t="n">
        <v>0.25</v>
      </c>
      <c r="J238" s="8" t="s">
        <v>33</v>
      </c>
    </row>
    <row r="239" customFormat="false" ht="15" hidden="false" customHeight="false" outlineLevel="0" collapsed="false">
      <c r="A239" s="8" t="n">
        <v>1860</v>
      </c>
      <c r="B239" s="8" t="n">
        <v>57</v>
      </c>
      <c r="C239" s="8" t="str">
        <f aca="false">IFERROR(INDEX('Project Classifications'!$B$2:$B$231,MATCH(B239,'Project Classifications'!$A$2:$A$231,0)),"")</f>
        <v>Data for: From legal doctrine to social transformation? Comparing U.S. voting rights, equal employment opportunity, and fair housing legislation</v>
      </c>
      <c r="D239" s="8" t="s">
        <v>808</v>
      </c>
      <c r="E239" s="8" t="s">
        <v>574</v>
      </c>
      <c r="F239" s="8" t="s">
        <v>53</v>
      </c>
      <c r="G239" s="8" t="s">
        <v>55</v>
      </c>
      <c r="H239" s="8" t="s">
        <v>56</v>
      </c>
      <c r="I239" s="9" t="n">
        <v>0.285714285714286</v>
      </c>
      <c r="J239" s="8" t="s">
        <v>33</v>
      </c>
    </row>
    <row r="240" customFormat="false" ht="15" hidden="false" customHeight="false" outlineLevel="0" collapsed="false">
      <c r="A240" s="8" t="n">
        <v>1861</v>
      </c>
      <c r="B240" s="8" t="n">
        <v>58</v>
      </c>
      <c r="C240" s="8" t="str">
        <f aca="false">IFERROR(INDEX('Project Classifications'!$B$2:$B$231,MATCH(B240,'Project Classifications'!$A$2:$A$231,0)),"")</f>
        <v>Data for: Integrating Co-Design into Formative Research for a SBCC Entry-Point Platform for Nutrition-Sensitive Social Protection Programs in Low- and Middle-Income Country Settings</v>
      </c>
      <c r="D240" s="8" t="s">
        <v>809</v>
      </c>
      <c r="E240" s="8" t="s">
        <v>574</v>
      </c>
      <c r="F240" s="8" t="s">
        <v>53</v>
      </c>
      <c r="G240" s="8" t="s">
        <v>55</v>
      </c>
      <c r="H240" s="8" t="s">
        <v>56</v>
      </c>
      <c r="I240" s="9" t="n">
        <v>0.285714285714286</v>
      </c>
      <c r="J240" s="8" t="s">
        <v>33</v>
      </c>
    </row>
    <row r="241" customFormat="false" ht="15" hidden="false" customHeight="false" outlineLevel="0" collapsed="false">
      <c r="A241" s="8" t="n">
        <v>1862</v>
      </c>
      <c r="B241" s="8" t="n">
        <v>58</v>
      </c>
      <c r="C241" s="8" t="str">
        <f aca="false">IFERROR(INDEX('Project Classifications'!$B$2:$B$231,MATCH(B241,'Project Classifications'!$A$2:$A$231,0)),"")</f>
        <v>Data for: Integrating Co-Design into Formative Research for a SBCC Entry-Point Platform for Nutrition-Sensitive Social Protection Programs in Low- and Middle-Income Country Settings</v>
      </c>
      <c r="D241" s="8" t="s">
        <v>810</v>
      </c>
      <c r="E241" s="8" t="s">
        <v>562</v>
      </c>
      <c r="F241" s="8" t="s">
        <v>71</v>
      </c>
      <c r="G241" s="8" t="s">
        <v>73</v>
      </c>
      <c r="H241" s="8" t="s">
        <v>74</v>
      </c>
      <c r="I241" s="9" t="n">
        <v>0.142857142857143</v>
      </c>
      <c r="J241" s="8" t="s">
        <v>33</v>
      </c>
    </row>
    <row r="242" customFormat="false" ht="15" hidden="false" customHeight="false" outlineLevel="0" collapsed="false">
      <c r="A242" s="8" t="n">
        <v>1871</v>
      </c>
      <c r="B242" s="8" t="n">
        <v>58</v>
      </c>
      <c r="C242" s="8" t="str">
        <f aca="false">IFERROR(INDEX('Project Classifications'!$B$2:$B$231,MATCH(B242,'Project Classifications'!$A$2:$A$231,0)),"")</f>
        <v>Data for: Integrating Co-Design into Formative Research for a SBCC Entry-Point Platform for Nutrition-Sensitive Social Protection Programs in Low- and Middle-Income Country Settings</v>
      </c>
      <c r="D242" s="8" t="s">
        <v>811</v>
      </c>
      <c r="E242" s="8" t="s">
        <v>562</v>
      </c>
      <c r="F242" s="8" t="s">
        <v>71</v>
      </c>
      <c r="G242" s="8" t="s">
        <v>73</v>
      </c>
      <c r="H242" s="8" t="s">
        <v>74</v>
      </c>
      <c r="I242" s="9" t="n">
        <v>0.0714285714285714</v>
      </c>
      <c r="J242" s="8" t="s">
        <v>33</v>
      </c>
    </row>
    <row r="243" customFormat="false" ht="15" hidden="false" customHeight="false" outlineLevel="0" collapsed="false">
      <c r="A243" s="8" t="n">
        <v>1876</v>
      </c>
      <c r="B243" s="8" t="n">
        <v>58</v>
      </c>
      <c r="C243" s="8" t="str">
        <f aca="false">IFERROR(INDEX('Project Classifications'!$B$2:$B$231,MATCH(B243,'Project Classifications'!$A$2:$A$231,0)),"")</f>
        <v>Data for: Integrating Co-Design into Formative Research for a SBCC Entry-Point Platform for Nutrition-Sensitive Social Protection Programs in Low- and Middle-Income Country Settings</v>
      </c>
      <c r="D243" s="8" t="s">
        <v>812</v>
      </c>
      <c r="E243" s="8" t="s">
        <v>562</v>
      </c>
      <c r="F243" s="8" t="s">
        <v>305</v>
      </c>
      <c r="G243" s="8" t="s">
        <v>307</v>
      </c>
      <c r="H243" s="8" t="s">
        <v>306</v>
      </c>
      <c r="I243" s="9" t="n">
        <v>0</v>
      </c>
      <c r="J243" s="8" t="s">
        <v>33</v>
      </c>
    </row>
    <row r="244" customFormat="false" ht="15" hidden="false" customHeight="false" outlineLevel="0" collapsed="false">
      <c r="A244" s="8" t="n">
        <v>1897</v>
      </c>
      <c r="B244" s="8" t="n">
        <v>58</v>
      </c>
      <c r="C244" s="8" t="str">
        <f aca="false">IFERROR(INDEX('Project Classifications'!$B$2:$B$231,MATCH(B244,'Project Classifications'!$A$2:$A$231,0)),"")</f>
        <v>Data for: Integrating Co-Design into Formative Research for a SBCC Entry-Point Platform for Nutrition-Sensitive Social Protection Programs in Low- and Middle-Income Country Settings</v>
      </c>
      <c r="D244" s="8" t="s">
        <v>813</v>
      </c>
      <c r="E244" s="8" t="s">
        <v>562</v>
      </c>
      <c r="F244" s="8" t="s">
        <v>48</v>
      </c>
      <c r="G244" s="8" t="s">
        <v>50</v>
      </c>
      <c r="H244" s="8" t="s">
        <v>49</v>
      </c>
      <c r="I244" s="9" t="n">
        <v>0.125</v>
      </c>
      <c r="J244" s="8" t="s">
        <v>33</v>
      </c>
    </row>
    <row r="245" customFormat="false" ht="15" hidden="false" customHeight="false" outlineLevel="0" collapsed="false">
      <c r="A245" s="8" t="n">
        <v>1898</v>
      </c>
      <c r="B245" s="8" t="n">
        <v>58</v>
      </c>
      <c r="C245" s="8" t="str">
        <f aca="false">IFERROR(INDEX('Project Classifications'!$B$2:$B$231,MATCH(B245,'Project Classifications'!$A$2:$A$231,0)),"")</f>
        <v>Data for: Integrating Co-Design into Formative Research for a SBCC Entry-Point Platform for Nutrition-Sensitive Social Protection Programs in Low- and Middle-Income Country Settings</v>
      </c>
      <c r="D245" s="8" t="s">
        <v>814</v>
      </c>
      <c r="E245" s="8" t="s">
        <v>562</v>
      </c>
      <c r="F245" s="8" t="s">
        <v>42</v>
      </c>
      <c r="G245" s="8" t="s">
        <v>44</v>
      </c>
      <c r="H245" s="8" t="s">
        <v>45</v>
      </c>
      <c r="I245" s="9" t="n">
        <v>0.0555555555555556</v>
      </c>
      <c r="J245" s="8" t="s">
        <v>33</v>
      </c>
    </row>
    <row r="246" customFormat="false" ht="15" hidden="false" customHeight="false" outlineLevel="0" collapsed="false">
      <c r="A246" s="8" t="n">
        <v>1899</v>
      </c>
      <c r="B246" s="8" t="n">
        <v>58</v>
      </c>
      <c r="C246" s="8" t="str">
        <f aca="false">IFERROR(INDEX('Project Classifications'!$B$2:$B$231,MATCH(B246,'Project Classifications'!$A$2:$A$231,0)),"")</f>
        <v>Data for: Integrating Co-Design into Formative Research for a SBCC Entry-Point Platform for Nutrition-Sensitive Social Protection Programs in Low- and Middle-Income Country Settings</v>
      </c>
      <c r="D246" s="8" t="s">
        <v>815</v>
      </c>
      <c r="E246" s="8" t="s">
        <v>562</v>
      </c>
      <c r="F246" s="8" t="s">
        <v>48</v>
      </c>
      <c r="G246" s="8" t="s">
        <v>50</v>
      </c>
      <c r="H246" s="8" t="s">
        <v>49</v>
      </c>
      <c r="I246" s="9" t="n">
        <v>0.125</v>
      </c>
      <c r="J246" s="8" t="s">
        <v>33</v>
      </c>
    </row>
    <row r="247" customFormat="false" ht="15" hidden="false" customHeight="false" outlineLevel="0" collapsed="false">
      <c r="A247" s="8" t="n">
        <v>1900</v>
      </c>
      <c r="B247" s="8" t="n">
        <v>58</v>
      </c>
      <c r="C247" s="8" t="str">
        <f aca="false">IFERROR(INDEX('Project Classifications'!$B$2:$B$231,MATCH(B247,'Project Classifications'!$A$2:$A$231,0)),"")</f>
        <v>Data for: Integrating Co-Design into Formative Research for a SBCC Entry-Point Platform for Nutrition-Sensitive Social Protection Programs in Low- and Middle-Income Country Settings</v>
      </c>
      <c r="D247" s="8" t="s">
        <v>816</v>
      </c>
      <c r="E247" s="8" t="s">
        <v>562</v>
      </c>
      <c r="F247" s="8" t="s">
        <v>48</v>
      </c>
      <c r="G247" s="8" t="s">
        <v>50</v>
      </c>
      <c r="H247" s="8" t="s">
        <v>49</v>
      </c>
      <c r="I247" s="9" t="n">
        <v>0.0625</v>
      </c>
      <c r="J247" s="8" t="s">
        <v>33</v>
      </c>
    </row>
    <row r="248" customFormat="false" ht="15" hidden="false" customHeight="false" outlineLevel="0" collapsed="false">
      <c r="A248" s="8" t="n">
        <v>2098</v>
      </c>
      <c r="B248" s="8" t="n">
        <v>59</v>
      </c>
      <c r="C248" s="8" t="str">
        <f aca="false">IFERROR(INDEX('Project Classifications'!$B$2:$B$231,MATCH(B248,'Project Classifications'!$A$2:$A$231,0)),"")</f>
        <v>Seed systems in West Africa</v>
      </c>
      <c r="D248" s="8" t="s">
        <v>817</v>
      </c>
      <c r="E248" s="8" t="s">
        <v>562</v>
      </c>
      <c r="F248" s="8" t="s">
        <v>179</v>
      </c>
      <c r="G248" s="8" t="s">
        <v>181</v>
      </c>
      <c r="H248" s="8" t="s">
        <v>182</v>
      </c>
      <c r="I248" s="9" t="n">
        <v>0.166666666666667</v>
      </c>
      <c r="J248" s="8" t="s">
        <v>33</v>
      </c>
    </row>
    <row r="249" customFormat="false" ht="15" hidden="false" customHeight="false" outlineLevel="0" collapsed="false">
      <c r="A249" s="8" t="n">
        <v>2099</v>
      </c>
      <c r="B249" s="8" t="n">
        <v>59</v>
      </c>
      <c r="C249" s="8" t="str">
        <f aca="false">IFERROR(INDEX('Project Classifications'!$B$2:$B$231,MATCH(B249,'Project Classifications'!$A$2:$A$231,0)),"")</f>
        <v>Seed systems in West Africa</v>
      </c>
      <c r="D249" s="8" t="s">
        <v>818</v>
      </c>
      <c r="E249" s="8" t="s">
        <v>562</v>
      </c>
      <c r="F249" s="8" t="s">
        <v>305</v>
      </c>
      <c r="G249" s="8" t="s">
        <v>307</v>
      </c>
      <c r="H249" s="8" t="s">
        <v>306</v>
      </c>
      <c r="I249" s="9" t="n">
        <v>0</v>
      </c>
      <c r="J249" s="8" t="s">
        <v>33</v>
      </c>
    </row>
    <row r="250" customFormat="false" ht="15" hidden="false" customHeight="false" outlineLevel="0" collapsed="false">
      <c r="A250" s="8" t="n">
        <v>2100</v>
      </c>
      <c r="B250" s="8" t="n">
        <v>59</v>
      </c>
      <c r="C250" s="8" t="str">
        <f aca="false">IFERROR(INDEX('Project Classifications'!$B$2:$B$231,MATCH(B250,'Project Classifications'!$A$2:$A$231,0)),"")</f>
        <v>Seed systems in West Africa</v>
      </c>
      <c r="D250" s="8" t="s">
        <v>819</v>
      </c>
      <c r="E250" s="8" t="s">
        <v>562</v>
      </c>
      <c r="F250" s="8" t="s">
        <v>179</v>
      </c>
      <c r="G250" s="8" t="s">
        <v>181</v>
      </c>
      <c r="H250" s="8" t="s">
        <v>182</v>
      </c>
      <c r="I250" s="9" t="n">
        <v>0.166666666666667</v>
      </c>
      <c r="J250" s="8" t="s">
        <v>33</v>
      </c>
    </row>
    <row r="251" customFormat="false" ht="15" hidden="false" customHeight="false" outlineLevel="0" collapsed="false">
      <c r="A251" s="8" t="n">
        <v>2101</v>
      </c>
      <c r="B251" s="8" t="n">
        <v>59</v>
      </c>
      <c r="C251" s="8" t="str">
        <f aca="false">IFERROR(INDEX('Project Classifications'!$B$2:$B$231,MATCH(B251,'Project Classifications'!$A$2:$A$231,0)),"")</f>
        <v>Seed systems in West Africa</v>
      </c>
      <c r="D251" s="8" t="s">
        <v>820</v>
      </c>
      <c r="E251" s="8" t="s">
        <v>562</v>
      </c>
      <c r="F251" s="8" t="s">
        <v>179</v>
      </c>
      <c r="G251" s="8" t="s">
        <v>181</v>
      </c>
      <c r="H251" s="8" t="s">
        <v>182</v>
      </c>
      <c r="I251" s="9" t="n">
        <v>0.166666666666667</v>
      </c>
      <c r="J251" s="8" t="s">
        <v>33</v>
      </c>
    </row>
    <row r="252" customFormat="false" ht="15" hidden="false" customHeight="false" outlineLevel="0" collapsed="false">
      <c r="A252" s="8" t="n">
        <v>2102</v>
      </c>
      <c r="B252" s="8" t="n">
        <v>59</v>
      </c>
      <c r="C252" s="8" t="str">
        <f aca="false">IFERROR(INDEX('Project Classifications'!$B$2:$B$231,MATCH(B252,'Project Classifications'!$A$2:$A$231,0)),"")</f>
        <v>Seed systems in West Africa</v>
      </c>
      <c r="D252" s="8" t="s">
        <v>821</v>
      </c>
      <c r="E252" s="8" t="s">
        <v>562</v>
      </c>
      <c r="F252" s="8" t="s">
        <v>179</v>
      </c>
      <c r="G252" s="8" t="s">
        <v>181</v>
      </c>
      <c r="H252" s="8" t="s">
        <v>182</v>
      </c>
      <c r="I252" s="9" t="n">
        <v>0.166666666666667</v>
      </c>
      <c r="J252" s="8" t="s">
        <v>33</v>
      </c>
    </row>
    <row r="253" customFormat="false" ht="15" hidden="false" customHeight="false" outlineLevel="0" collapsed="false">
      <c r="A253" s="8" t="n">
        <v>2103</v>
      </c>
      <c r="B253" s="8" t="n">
        <v>59</v>
      </c>
      <c r="C253" s="8" t="str">
        <f aca="false">IFERROR(INDEX('Project Classifications'!$B$2:$B$231,MATCH(B253,'Project Classifications'!$A$2:$A$231,0)),"")</f>
        <v>Seed systems in West Africa</v>
      </c>
      <c r="D253" s="8" t="s">
        <v>822</v>
      </c>
      <c r="E253" s="8" t="s">
        <v>562</v>
      </c>
      <c r="F253" s="8" t="s">
        <v>305</v>
      </c>
      <c r="G253" s="8" t="s">
        <v>307</v>
      </c>
      <c r="H253" s="8" t="s">
        <v>306</v>
      </c>
      <c r="I253" s="9" t="n">
        <v>0</v>
      </c>
      <c r="J253" s="8" t="s">
        <v>33</v>
      </c>
    </row>
    <row r="254" customFormat="false" ht="15" hidden="false" customHeight="false" outlineLevel="0" collapsed="false">
      <c r="A254" s="8" t="n">
        <v>2104</v>
      </c>
      <c r="B254" s="8" t="n">
        <v>59</v>
      </c>
      <c r="C254" s="8" t="str">
        <f aca="false">IFERROR(INDEX('Project Classifications'!$B$2:$B$231,MATCH(B254,'Project Classifications'!$A$2:$A$231,0)),"")</f>
        <v>Seed systems in West Africa</v>
      </c>
      <c r="D254" s="8" t="s">
        <v>823</v>
      </c>
      <c r="E254" s="8" t="s">
        <v>600</v>
      </c>
      <c r="F254" s="8" t="s">
        <v>305</v>
      </c>
      <c r="G254" s="8" t="s">
        <v>307</v>
      </c>
      <c r="H254" s="8" t="s">
        <v>306</v>
      </c>
      <c r="I254" s="9" t="n">
        <v>0</v>
      </c>
      <c r="J254" s="8" t="s">
        <v>33</v>
      </c>
    </row>
    <row r="255" customFormat="false" ht="15" hidden="false" customHeight="false" outlineLevel="0" collapsed="false">
      <c r="A255" s="8" t="n">
        <v>2105</v>
      </c>
      <c r="B255" s="8" t="n">
        <v>59</v>
      </c>
      <c r="C255" s="8" t="str">
        <f aca="false">IFERROR(INDEX('Project Classifications'!$B$2:$B$231,MATCH(B255,'Project Classifications'!$A$2:$A$231,0)),"")</f>
        <v>Seed systems in West Africa</v>
      </c>
      <c r="D255" s="8" t="s">
        <v>824</v>
      </c>
      <c r="E255" s="8" t="s">
        <v>562</v>
      </c>
      <c r="F255" s="8" t="s">
        <v>179</v>
      </c>
      <c r="G255" s="8" t="s">
        <v>181</v>
      </c>
      <c r="H255" s="8" t="s">
        <v>182</v>
      </c>
      <c r="I255" s="9" t="n">
        <v>0.333333333333333</v>
      </c>
      <c r="J255" s="8" t="s">
        <v>33</v>
      </c>
    </row>
    <row r="256" customFormat="false" ht="15" hidden="false" customHeight="false" outlineLevel="0" collapsed="false">
      <c r="A256" s="8" t="n">
        <v>2106</v>
      </c>
      <c r="B256" s="8" t="n">
        <v>59</v>
      </c>
      <c r="C256" s="8" t="str">
        <f aca="false">IFERROR(INDEX('Project Classifications'!$B$2:$B$231,MATCH(B256,'Project Classifications'!$A$2:$A$231,0)),"")</f>
        <v>Seed systems in West Africa</v>
      </c>
      <c r="D256" s="8" t="s">
        <v>825</v>
      </c>
      <c r="E256" s="8" t="s">
        <v>600</v>
      </c>
      <c r="F256" s="8" t="s">
        <v>305</v>
      </c>
      <c r="G256" s="8" t="s">
        <v>307</v>
      </c>
      <c r="H256" s="8" t="s">
        <v>306</v>
      </c>
      <c r="I256" s="9" t="n">
        <v>0</v>
      </c>
      <c r="J256" s="8" t="s">
        <v>33</v>
      </c>
    </row>
    <row r="257" customFormat="false" ht="15" hidden="false" customHeight="false" outlineLevel="0" collapsed="false">
      <c r="A257" s="8" t="n">
        <v>2107</v>
      </c>
      <c r="B257" s="8" t="n">
        <v>59</v>
      </c>
      <c r="C257" s="8" t="str">
        <f aca="false">IFERROR(INDEX('Project Classifications'!$B$2:$B$231,MATCH(B257,'Project Classifications'!$A$2:$A$231,0)),"")</f>
        <v>Seed systems in West Africa</v>
      </c>
      <c r="D257" s="8" t="s">
        <v>826</v>
      </c>
      <c r="E257" s="8" t="s">
        <v>562</v>
      </c>
      <c r="F257" s="8" t="s">
        <v>179</v>
      </c>
      <c r="G257" s="8" t="s">
        <v>181</v>
      </c>
      <c r="H257" s="8" t="s">
        <v>182</v>
      </c>
      <c r="I257" s="9" t="n">
        <v>0.333333333333333</v>
      </c>
      <c r="J257" s="8" t="s">
        <v>33</v>
      </c>
    </row>
    <row r="258" customFormat="false" ht="15" hidden="false" customHeight="false" outlineLevel="0" collapsed="false">
      <c r="A258" s="8" t="n">
        <v>2108</v>
      </c>
      <c r="B258" s="8" t="n">
        <v>59</v>
      </c>
      <c r="C258" s="8" t="str">
        <f aca="false">IFERROR(INDEX('Project Classifications'!$B$2:$B$231,MATCH(B258,'Project Classifications'!$A$2:$A$231,0)),"")</f>
        <v>Seed systems in West Africa</v>
      </c>
      <c r="D258" s="8" t="s">
        <v>827</v>
      </c>
      <c r="E258" s="8" t="s">
        <v>562</v>
      </c>
      <c r="F258" s="8" t="s">
        <v>179</v>
      </c>
      <c r="G258" s="8" t="s">
        <v>181</v>
      </c>
      <c r="H258" s="8" t="s">
        <v>182</v>
      </c>
      <c r="I258" s="9" t="n">
        <v>0.5</v>
      </c>
      <c r="J258" s="8" t="s">
        <v>33</v>
      </c>
    </row>
    <row r="259" customFormat="false" ht="15" hidden="false" customHeight="false" outlineLevel="0" collapsed="false">
      <c r="A259" s="8" t="n">
        <v>2109</v>
      </c>
      <c r="B259" s="8" t="n">
        <v>59</v>
      </c>
      <c r="C259" s="8" t="str">
        <f aca="false">IFERROR(INDEX('Project Classifications'!$B$2:$B$231,MATCH(B259,'Project Classifications'!$A$2:$A$231,0)),"")</f>
        <v>Seed systems in West Africa</v>
      </c>
      <c r="D259" s="8" t="s">
        <v>828</v>
      </c>
      <c r="E259" s="8" t="s">
        <v>562</v>
      </c>
      <c r="F259" s="8" t="s">
        <v>179</v>
      </c>
      <c r="G259" s="8" t="s">
        <v>181</v>
      </c>
      <c r="H259" s="8" t="s">
        <v>182</v>
      </c>
      <c r="I259" s="9" t="n">
        <v>0.333333333333333</v>
      </c>
      <c r="J259" s="8" t="s">
        <v>33</v>
      </c>
    </row>
    <row r="260" customFormat="false" ht="15" hidden="false" customHeight="false" outlineLevel="0" collapsed="false">
      <c r="A260" s="8" t="n">
        <v>2506</v>
      </c>
      <c r="B260" s="8" t="n">
        <v>59</v>
      </c>
      <c r="C260" s="8" t="str">
        <f aca="false">IFERROR(INDEX('Project Classifications'!$B$2:$B$231,MATCH(B260,'Project Classifications'!$A$2:$A$231,0)),"")</f>
        <v>Seed systems in West Africa</v>
      </c>
      <c r="D260" s="8" t="s">
        <v>829</v>
      </c>
      <c r="E260" s="8" t="s">
        <v>574</v>
      </c>
      <c r="F260" s="8" t="s">
        <v>179</v>
      </c>
      <c r="G260" s="8" t="s">
        <v>181</v>
      </c>
      <c r="H260" s="8" t="s">
        <v>182</v>
      </c>
      <c r="I260" s="9" t="n">
        <v>0.333333333333333</v>
      </c>
      <c r="J260" s="8" t="s">
        <v>33</v>
      </c>
    </row>
    <row r="261" customFormat="false" ht="15" hidden="false" customHeight="false" outlineLevel="0" collapsed="false">
      <c r="A261" s="8" t="n">
        <v>2541</v>
      </c>
      <c r="B261" s="8" t="n">
        <v>61</v>
      </c>
      <c r="C261" s="8" t="str">
        <f aca="false">IFERROR(INDEX('Project Classifications'!$B$2:$B$231,MATCH(B261,'Project Classifications'!$A$2:$A$231,0)),"")</f>
        <v>Rural Mobility and the Impacts of Auto-Oriented Infrastructure in Appalachia</v>
      </c>
      <c r="D261" s="8" t="s">
        <v>830</v>
      </c>
      <c r="E261" s="8" t="s">
        <v>562</v>
      </c>
      <c r="F261" s="8" t="s">
        <v>445</v>
      </c>
      <c r="G261" s="8" t="s">
        <v>447</v>
      </c>
      <c r="H261" s="8" t="s">
        <v>448</v>
      </c>
      <c r="I261" s="9" t="n">
        <v>0.25</v>
      </c>
      <c r="J261" s="8" t="s">
        <v>33</v>
      </c>
    </row>
    <row r="262" customFormat="false" ht="15" hidden="false" customHeight="false" outlineLevel="0" collapsed="false">
      <c r="A262" s="8" t="n">
        <v>2542</v>
      </c>
      <c r="B262" s="8" t="n">
        <v>61</v>
      </c>
      <c r="C262" s="8" t="str">
        <f aca="false">IFERROR(INDEX('Project Classifications'!$B$2:$B$231,MATCH(B262,'Project Classifications'!$A$2:$A$231,0)),"")</f>
        <v>Rural Mobility and the Impacts of Auto-Oriented Infrastructure in Appalachia</v>
      </c>
      <c r="D262" s="8" t="s">
        <v>831</v>
      </c>
      <c r="E262" s="8" t="s">
        <v>562</v>
      </c>
      <c r="F262" s="8" t="s">
        <v>445</v>
      </c>
      <c r="G262" s="8" t="s">
        <v>447</v>
      </c>
      <c r="H262" s="8" t="s">
        <v>448</v>
      </c>
      <c r="I262" s="9" t="n">
        <v>0.25</v>
      </c>
      <c r="J262" s="8" t="s">
        <v>33</v>
      </c>
    </row>
    <row r="263" customFormat="false" ht="15" hidden="false" customHeight="false" outlineLevel="0" collapsed="false">
      <c r="A263" s="8" t="n">
        <v>2543</v>
      </c>
      <c r="B263" s="8" t="n">
        <v>61</v>
      </c>
      <c r="C263" s="8" t="str">
        <f aca="false">IFERROR(INDEX('Project Classifications'!$B$2:$B$231,MATCH(B263,'Project Classifications'!$A$2:$A$231,0)),"")</f>
        <v>Rural Mobility and the Impacts of Auto-Oriented Infrastructure in Appalachia</v>
      </c>
      <c r="D263" s="8" t="s">
        <v>832</v>
      </c>
      <c r="E263" s="8" t="s">
        <v>574</v>
      </c>
      <c r="F263" s="8" t="s">
        <v>53</v>
      </c>
      <c r="G263" s="8" t="s">
        <v>55</v>
      </c>
      <c r="H263" s="8" t="s">
        <v>56</v>
      </c>
      <c r="I263" s="9" t="n">
        <v>0.285714285714286</v>
      </c>
      <c r="J263" s="8" t="s">
        <v>33</v>
      </c>
    </row>
    <row r="264" customFormat="false" ht="15" hidden="false" customHeight="false" outlineLevel="0" collapsed="false">
      <c r="A264" s="8" t="n">
        <v>2558</v>
      </c>
      <c r="B264" s="8" t="n">
        <v>63</v>
      </c>
      <c r="C264" s="8" t="str">
        <f aca="false">IFERROR(INDEX('Project Classifications'!$B$2:$B$231,MATCH(B264,'Project Classifications'!$A$2:$A$231,0)),"")</f>
        <v>Unplanned Admission to the ICU: A Qualitative Study Examining Family Member Experiences</v>
      </c>
      <c r="D264" s="8" t="s">
        <v>833</v>
      </c>
      <c r="E264" s="8" t="s">
        <v>562</v>
      </c>
      <c r="F264" s="8" t="s">
        <v>42</v>
      </c>
      <c r="G264" s="8" t="s">
        <v>44</v>
      </c>
      <c r="H264" s="8" t="s">
        <v>45</v>
      </c>
      <c r="I264" s="9" t="n">
        <v>0.333333333333333</v>
      </c>
      <c r="J264" s="8" t="s">
        <v>33</v>
      </c>
    </row>
    <row r="265" customFormat="false" ht="15" hidden="false" customHeight="false" outlineLevel="0" collapsed="false">
      <c r="A265" s="8" t="n">
        <v>2559</v>
      </c>
      <c r="B265" s="8" t="n">
        <v>63</v>
      </c>
      <c r="C265" s="8" t="str">
        <f aca="false">IFERROR(INDEX('Project Classifications'!$B$2:$B$231,MATCH(B265,'Project Classifications'!$A$2:$A$231,0)),"")</f>
        <v>Unplanned Admission to the ICU: A Qualitative Study Examining Family Member Experiences</v>
      </c>
      <c r="D265" s="8" t="s">
        <v>834</v>
      </c>
      <c r="E265" s="8" t="s">
        <v>562</v>
      </c>
      <c r="F265" s="8" t="s">
        <v>42</v>
      </c>
      <c r="G265" s="8" t="s">
        <v>44</v>
      </c>
      <c r="H265" s="8" t="s">
        <v>45</v>
      </c>
      <c r="I265" s="9" t="n">
        <v>0.333333333333333</v>
      </c>
      <c r="J265" s="8" t="s">
        <v>33</v>
      </c>
    </row>
    <row r="266" customFormat="false" ht="15" hidden="false" customHeight="false" outlineLevel="0" collapsed="false">
      <c r="A266" s="8" t="n">
        <v>2561</v>
      </c>
      <c r="B266" s="8" t="n">
        <v>63</v>
      </c>
      <c r="C266" s="8" t="str">
        <f aca="false">IFERROR(INDEX('Project Classifications'!$B$2:$B$231,MATCH(B266,'Project Classifications'!$A$2:$A$231,0)),"")</f>
        <v>Unplanned Admission to the ICU: A Qualitative Study Examining Family Member Experiences</v>
      </c>
      <c r="D266" s="8" t="s">
        <v>835</v>
      </c>
      <c r="E266" s="8" t="s">
        <v>574</v>
      </c>
      <c r="F266" s="8" t="s">
        <v>42</v>
      </c>
      <c r="G266" s="8" t="s">
        <v>44</v>
      </c>
      <c r="H266" s="8" t="s">
        <v>45</v>
      </c>
      <c r="I266" s="9" t="n">
        <v>0.222222222222222</v>
      </c>
      <c r="J266" s="8" t="s">
        <v>33</v>
      </c>
    </row>
    <row r="267" customFormat="false" ht="15" hidden="false" customHeight="false" outlineLevel="0" collapsed="false">
      <c r="A267" s="8" t="n">
        <v>2562</v>
      </c>
      <c r="B267" s="8" t="n">
        <v>64</v>
      </c>
      <c r="C267" s="8" t="str">
        <f aca="false">IFERROR(INDEX('Project Classifications'!$B$2:$B$231,MATCH(B267,'Project Classifications'!$A$2:$A$231,0)),"")</f>
        <v>Memories about Colégio São Vicente de Paulo, Rio de Janeiro, Brazil, 1970s-1980s</v>
      </c>
      <c r="D267" s="8" t="s">
        <v>836</v>
      </c>
      <c r="E267" s="8" t="s">
        <v>574</v>
      </c>
      <c r="F267" s="8" t="s">
        <v>48</v>
      </c>
      <c r="G267" s="8" t="s">
        <v>50</v>
      </c>
      <c r="H267" s="8" t="s">
        <v>49</v>
      </c>
      <c r="I267" s="9" t="n">
        <v>0.1875</v>
      </c>
      <c r="J267" s="8" t="s">
        <v>33</v>
      </c>
    </row>
    <row r="268" customFormat="false" ht="15" hidden="false" customHeight="false" outlineLevel="0" collapsed="false">
      <c r="A268" s="8" t="n">
        <v>2563</v>
      </c>
      <c r="B268" s="8" t="n">
        <v>64</v>
      </c>
      <c r="C268" s="8" t="str">
        <f aca="false">IFERROR(INDEX('Project Classifications'!$B$2:$B$231,MATCH(B268,'Project Classifications'!$A$2:$A$231,0)),"")</f>
        <v>Memories about Colégio São Vicente de Paulo, Rio de Janeiro, Brazil, 1970s-1980s</v>
      </c>
      <c r="D268" s="8" t="s">
        <v>837</v>
      </c>
      <c r="E268" s="8" t="s">
        <v>562</v>
      </c>
      <c r="F268" s="8" t="s">
        <v>48</v>
      </c>
      <c r="G268" s="8" t="s">
        <v>50</v>
      </c>
      <c r="H268" s="8" t="s">
        <v>49</v>
      </c>
      <c r="I268" s="9" t="n">
        <v>0.25</v>
      </c>
      <c r="J268" s="8" t="s">
        <v>33</v>
      </c>
    </row>
    <row r="269" customFormat="false" ht="15" hidden="false" customHeight="false" outlineLevel="0" collapsed="false">
      <c r="A269" s="8" t="n">
        <v>2589</v>
      </c>
      <c r="B269" s="8" t="n">
        <v>64</v>
      </c>
      <c r="C269" s="8" t="str">
        <f aca="false">IFERROR(INDEX('Project Classifications'!$B$2:$B$231,MATCH(B269,'Project Classifications'!$A$2:$A$231,0)),"")</f>
        <v>Memories about Colégio São Vicente de Paulo, Rio de Janeiro, Brazil, 1970s-1980s</v>
      </c>
      <c r="D269" s="8" t="s">
        <v>838</v>
      </c>
      <c r="E269" s="8" t="s">
        <v>562</v>
      </c>
      <c r="F269" s="8" t="s">
        <v>48</v>
      </c>
      <c r="G269" s="8" t="s">
        <v>50</v>
      </c>
      <c r="H269" s="8" t="s">
        <v>49</v>
      </c>
      <c r="I269" s="9" t="n">
        <v>0.1875</v>
      </c>
      <c r="J269" s="8" t="s">
        <v>33</v>
      </c>
    </row>
    <row r="270" customFormat="false" ht="15" hidden="false" customHeight="false" outlineLevel="0" collapsed="false">
      <c r="A270" s="8" t="n">
        <v>2707</v>
      </c>
      <c r="B270" s="8" t="n">
        <v>66</v>
      </c>
      <c r="C270" s="8" t="str">
        <f aca="false">IFERROR(INDEX('Project Classifications'!$B$2:$B$231,MATCH(B270,'Project Classifications'!$A$2:$A$231,0)),"")</f>
        <v>Data for “It is really just brilliant to get credits for something that is so important to you!” Skills for Life: University students’ perceptions of a planned dietary life skills course</v>
      </c>
      <c r="D270" s="8" t="s">
        <v>839</v>
      </c>
      <c r="E270" s="8" t="s">
        <v>574</v>
      </c>
      <c r="F270" s="8" t="s">
        <v>53</v>
      </c>
      <c r="G270" s="8" t="s">
        <v>55</v>
      </c>
      <c r="H270" s="8" t="s">
        <v>56</v>
      </c>
      <c r="I270" s="9" t="n">
        <v>0.285714285714286</v>
      </c>
      <c r="J270" s="8" t="s">
        <v>33</v>
      </c>
    </row>
    <row r="271" customFormat="false" ht="15" hidden="false" customHeight="false" outlineLevel="0" collapsed="false">
      <c r="A271" s="8" t="n">
        <v>2734</v>
      </c>
      <c r="B271" s="8" t="n">
        <v>66</v>
      </c>
      <c r="C271" s="8" t="str">
        <f aca="false">IFERROR(INDEX('Project Classifications'!$B$2:$B$231,MATCH(B271,'Project Classifications'!$A$2:$A$231,0)),"")</f>
        <v>Data for “It is really just brilliant to get credits for something that is so important to you!” Skills for Life: University students’ perceptions of a planned dietary life skills course</v>
      </c>
      <c r="D271" s="8" t="s">
        <v>840</v>
      </c>
      <c r="E271" s="8" t="s">
        <v>562</v>
      </c>
      <c r="F271" s="8" t="s">
        <v>48</v>
      </c>
      <c r="G271" s="8" t="s">
        <v>50</v>
      </c>
      <c r="H271" s="8" t="s">
        <v>49</v>
      </c>
      <c r="I271" s="9" t="n">
        <v>0.1875</v>
      </c>
      <c r="J271" s="8" t="s">
        <v>33</v>
      </c>
    </row>
    <row r="272" customFormat="false" ht="15" hidden="false" customHeight="false" outlineLevel="0" collapsed="false">
      <c r="A272" s="8" t="n">
        <v>2735</v>
      </c>
      <c r="B272" s="8" t="n">
        <v>66</v>
      </c>
      <c r="C272" s="8" t="str">
        <f aca="false">IFERROR(INDEX('Project Classifications'!$B$2:$B$231,MATCH(B272,'Project Classifications'!$A$2:$A$231,0)),"")</f>
        <v>Data for “It is really just brilliant to get credits for something that is so important to you!” Skills for Life: University students’ perceptions of a planned dietary life skills course</v>
      </c>
      <c r="D272" s="8" t="s">
        <v>841</v>
      </c>
      <c r="E272" s="8" t="s">
        <v>562</v>
      </c>
      <c r="F272" s="8" t="s">
        <v>305</v>
      </c>
      <c r="G272" s="8" t="s">
        <v>307</v>
      </c>
      <c r="H272" s="8" t="s">
        <v>306</v>
      </c>
      <c r="I272" s="9" t="n">
        <v>0</v>
      </c>
      <c r="J272" s="8" t="s">
        <v>33</v>
      </c>
    </row>
    <row r="273" customFormat="false" ht="15" hidden="false" customHeight="false" outlineLevel="0" collapsed="false">
      <c r="A273" s="8" t="n">
        <v>2736</v>
      </c>
      <c r="B273" s="8" t="n">
        <v>67</v>
      </c>
      <c r="C273" s="8" t="str">
        <f aca="false">IFERROR(INDEX('Project Classifications'!$B$2:$B$231,MATCH(B273,'Project Classifications'!$A$2:$A$231,0)),"")</f>
        <v>Data for: Finding pathways: Mixed-methods research for studying causal mechanisms</v>
      </c>
      <c r="D273" s="8" t="s">
        <v>842</v>
      </c>
      <c r="E273" s="8" t="s">
        <v>574</v>
      </c>
      <c r="F273" s="8" t="s">
        <v>53</v>
      </c>
      <c r="G273" s="8" t="s">
        <v>55</v>
      </c>
      <c r="H273" s="8" t="s">
        <v>56</v>
      </c>
      <c r="I273" s="9" t="n">
        <v>0.142857142857143</v>
      </c>
      <c r="J273" s="8" t="s">
        <v>33</v>
      </c>
    </row>
    <row r="274" customFormat="false" ht="15" hidden="false" customHeight="false" outlineLevel="0" collapsed="false">
      <c r="A274" s="8" t="n">
        <v>2737</v>
      </c>
      <c r="B274" s="8" t="n">
        <v>67</v>
      </c>
      <c r="C274" s="8" t="str">
        <f aca="false">IFERROR(INDEX('Project Classifications'!$B$2:$B$231,MATCH(B274,'Project Classifications'!$A$2:$A$231,0)),"")</f>
        <v>Data for: Finding pathways: Mixed-methods research for studying causal mechanisms</v>
      </c>
      <c r="D274" s="8" t="s">
        <v>843</v>
      </c>
      <c r="E274" s="8" t="s">
        <v>562</v>
      </c>
      <c r="F274" s="8" t="s">
        <v>48</v>
      </c>
      <c r="G274" s="8" t="s">
        <v>50</v>
      </c>
      <c r="H274" s="8" t="s">
        <v>49</v>
      </c>
      <c r="I274" s="9" t="n">
        <v>0.125</v>
      </c>
      <c r="J274" s="8" t="s">
        <v>33</v>
      </c>
    </row>
    <row r="275" customFormat="false" ht="15" hidden="false" customHeight="false" outlineLevel="0" collapsed="false">
      <c r="A275" s="8" t="n">
        <v>2738</v>
      </c>
      <c r="B275" s="8" t="n">
        <v>67</v>
      </c>
      <c r="C275" s="8" t="str">
        <f aca="false">IFERROR(INDEX('Project Classifications'!$B$2:$B$231,MATCH(B275,'Project Classifications'!$A$2:$A$231,0)),"")</f>
        <v>Data for: Finding pathways: Mixed-methods research for studying causal mechanisms</v>
      </c>
      <c r="D275" s="8" t="s">
        <v>844</v>
      </c>
      <c r="E275" s="8" t="s">
        <v>562</v>
      </c>
      <c r="F275" s="8" t="s">
        <v>48</v>
      </c>
      <c r="G275" s="8" t="s">
        <v>50</v>
      </c>
      <c r="H275" s="8" t="s">
        <v>49</v>
      </c>
      <c r="I275" s="9" t="n">
        <v>0.125</v>
      </c>
      <c r="J275" s="8" t="s">
        <v>33</v>
      </c>
    </row>
    <row r="276" customFormat="false" ht="15" hidden="false" customHeight="false" outlineLevel="0" collapsed="false">
      <c r="A276" s="8" t="n">
        <v>2757</v>
      </c>
      <c r="B276" s="8" t="n">
        <v>68</v>
      </c>
      <c r="C276" s="8" t="str">
        <f aca="false">IFERROR(INDEX('Project Classifications'!$B$2:$B$231,MATCH(B276,'Project Classifications'!$A$2:$A$231,0)),"")</f>
        <v>Perspectives on Political Representation</v>
      </c>
      <c r="D276" s="8" t="s">
        <v>845</v>
      </c>
      <c r="E276" s="8" t="s">
        <v>574</v>
      </c>
      <c r="F276" s="8" t="s">
        <v>53</v>
      </c>
      <c r="G276" s="8" t="s">
        <v>55</v>
      </c>
      <c r="H276" s="8" t="s">
        <v>56</v>
      </c>
      <c r="I276" s="9" t="n">
        <v>0.285714285714286</v>
      </c>
      <c r="J276" s="8" t="s">
        <v>33</v>
      </c>
    </row>
    <row r="277" customFormat="false" ht="15" hidden="false" customHeight="false" outlineLevel="0" collapsed="false">
      <c r="A277" s="8" t="n">
        <v>2763</v>
      </c>
      <c r="B277" s="8" t="n">
        <v>68</v>
      </c>
      <c r="C277" s="8" t="str">
        <f aca="false">IFERROR(INDEX('Project Classifications'!$B$2:$B$231,MATCH(B277,'Project Classifications'!$A$2:$A$231,0)),"")</f>
        <v>Perspectives on Political Representation</v>
      </c>
      <c r="D277" s="8" t="s">
        <v>846</v>
      </c>
      <c r="E277" s="8" t="s">
        <v>562</v>
      </c>
      <c r="F277" s="8" t="s">
        <v>305</v>
      </c>
      <c r="G277" s="8" t="s">
        <v>307</v>
      </c>
      <c r="H277" s="8" t="s">
        <v>306</v>
      </c>
      <c r="I277" s="9" t="n">
        <v>0</v>
      </c>
      <c r="J277" s="8" t="s">
        <v>33</v>
      </c>
    </row>
    <row r="278" customFormat="false" ht="15" hidden="false" customHeight="false" outlineLevel="0" collapsed="false">
      <c r="A278" s="8" t="n">
        <v>2765</v>
      </c>
      <c r="B278" s="8" t="n">
        <v>68</v>
      </c>
      <c r="C278" s="8" t="str">
        <f aca="false">IFERROR(INDEX('Project Classifications'!$B$2:$B$231,MATCH(B278,'Project Classifications'!$A$2:$A$231,0)),"")</f>
        <v>Perspectives on Political Representation</v>
      </c>
      <c r="D278" s="8" t="s">
        <v>847</v>
      </c>
      <c r="E278" s="8" t="s">
        <v>562</v>
      </c>
      <c r="F278" s="8" t="s">
        <v>71</v>
      </c>
      <c r="G278" s="8" t="s">
        <v>73</v>
      </c>
      <c r="H278" s="8" t="s">
        <v>74</v>
      </c>
      <c r="I278" s="9" t="n">
        <v>0.0714285714285714</v>
      </c>
      <c r="J278" s="8" t="s">
        <v>33</v>
      </c>
    </row>
    <row r="279" customFormat="false" ht="15" hidden="false" customHeight="false" outlineLevel="0" collapsed="false">
      <c r="A279" s="8" t="n">
        <v>2770</v>
      </c>
      <c r="B279" s="8" t="n">
        <v>68</v>
      </c>
      <c r="C279" s="8" t="str">
        <f aca="false">IFERROR(INDEX('Project Classifications'!$B$2:$B$231,MATCH(B279,'Project Classifications'!$A$2:$A$231,0)),"")</f>
        <v>Perspectives on Political Representation</v>
      </c>
      <c r="D279" s="8" t="s">
        <v>848</v>
      </c>
      <c r="E279" s="8" t="s">
        <v>562</v>
      </c>
      <c r="F279" s="8" t="s">
        <v>48</v>
      </c>
      <c r="G279" s="8" t="s">
        <v>50</v>
      </c>
      <c r="H279" s="8" t="s">
        <v>49</v>
      </c>
      <c r="I279" s="9" t="n">
        <v>0.125</v>
      </c>
      <c r="J279" s="8" t="s">
        <v>33</v>
      </c>
    </row>
    <row r="280" customFormat="false" ht="15" hidden="false" customHeight="false" outlineLevel="0" collapsed="false">
      <c r="A280" s="8" t="n">
        <v>2781</v>
      </c>
      <c r="B280" s="8" t="n">
        <v>68</v>
      </c>
      <c r="C280" s="8" t="str">
        <f aca="false">IFERROR(INDEX('Project Classifications'!$B$2:$B$231,MATCH(B280,'Project Classifications'!$A$2:$A$231,0)),"")</f>
        <v>Perspectives on Political Representation</v>
      </c>
      <c r="D280" s="8" t="s">
        <v>849</v>
      </c>
      <c r="E280" s="8" t="s">
        <v>562</v>
      </c>
      <c r="F280" s="8" t="s">
        <v>305</v>
      </c>
      <c r="G280" s="8" t="s">
        <v>307</v>
      </c>
      <c r="H280" s="8" t="s">
        <v>306</v>
      </c>
      <c r="I280" s="9" t="n">
        <v>0</v>
      </c>
      <c r="J280" s="8" t="s">
        <v>33</v>
      </c>
    </row>
    <row r="281" customFormat="false" ht="15" hidden="false" customHeight="false" outlineLevel="0" collapsed="false">
      <c r="A281" s="8" t="n">
        <v>2782</v>
      </c>
      <c r="B281" s="8" t="n">
        <v>68</v>
      </c>
      <c r="C281" s="8" t="str">
        <f aca="false">IFERROR(INDEX('Project Classifications'!$B$2:$B$231,MATCH(B281,'Project Classifications'!$A$2:$A$231,0)),"")</f>
        <v>Perspectives on Political Representation</v>
      </c>
      <c r="D281" s="8" t="s">
        <v>850</v>
      </c>
      <c r="E281" s="8" t="s">
        <v>562</v>
      </c>
      <c r="F281" s="8" t="s">
        <v>305</v>
      </c>
      <c r="G281" s="8" t="s">
        <v>307</v>
      </c>
      <c r="H281" s="8" t="s">
        <v>306</v>
      </c>
      <c r="I281" s="9" t="n">
        <v>0</v>
      </c>
      <c r="J281" s="8" t="s">
        <v>33</v>
      </c>
    </row>
    <row r="282" customFormat="false" ht="15" hidden="false" customHeight="false" outlineLevel="0" collapsed="false">
      <c r="A282" s="8" t="n">
        <v>2788</v>
      </c>
      <c r="B282" s="8" t="n">
        <v>69</v>
      </c>
      <c r="C282" s="8" t="str">
        <f aca="false">IFERROR(INDEX('Project Classifications'!$B$2:$B$231,MATCH(B282,'Project Classifications'!$A$2:$A$231,0)),"")</f>
        <v>Data for: Experiences of Ghanaian Frontline Healthcare Workers During the COVID-19 Pandemic and Healthcare Leadership Recommendations</v>
      </c>
      <c r="D282" s="8" t="s">
        <v>851</v>
      </c>
      <c r="E282" s="8" t="s">
        <v>562</v>
      </c>
      <c r="F282" s="8" t="s">
        <v>42</v>
      </c>
      <c r="G282" s="8" t="s">
        <v>44</v>
      </c>
      <c r="H282" s="8" t="s">
        <v>45</v>
      </c>
      <c r="I282" s="9" t="n">
        <v>0.166666666666667</v>
      </c>
      <c r="J282" s="8" t="s">
        <v>33</v>
      </c>
    </row>
    <row r="283" customFormat="false" ht="15" hidden="false" customHeight="false" outlineLevel="0" collapsed="false">
      <c r="A283" s="8" t="n">
        <v>2809</v>
      </c>
      <c r="B283" s="8" t="n">
        <v>69</v>
      </c>
      <c r="C283" s="8" t="str">
        <f aca="false">IFERROR(INDEX('Project Classifications'!$B$2:$B$231,MATCH(B283,'Project Classifications'!$A$2:$A$231,0)),"")</f>
        <v>Data for: Experiences of Ghanaian Frontline Healthcare Workers During the COVID-19 Pandemic and Healthcare Leadership Recommendations</v>
      </c>
      <c r="D283" s="8" t="s">
        <v>852</v>
      </c>
      <c r="E283" s="8" t="s">
        <v>562</v>
      </c>
      <c r="F283" s="8" t="s">
        <v>305</v>
      </c>
      <c r="G283" s="8" t="s">
        <v>307</v>
      </c>
      <c r="H283" s="8" t="s">
        <v>306</v>
      </c>
      <c r="I283" s="9" t="n">
        <v>0</v>
      </c>
      <c r="J283" s="8" t="s">
        <v>33</v>
      </c>
    </row>
    <row r="284" customFormat="false" ht="15" hidden="false" customHeight="false" outlineLevel="0" collapsed="false">
      <c r="A284" s="8" t="n">
        <v>2810</v>
      </c>
      <c r="B284" s="8" t="n">
        <v>69</v>
      </c>
      <c r="C284" s="8" t="str">
        <f aca="false">IFERROR(INDEX('Project Classifications'!$B$2:$B$231,MATCH(B284,'Project Classifications'!$A$2:$A$231,0)),"")</f>
        <v>Data for: Experiences of Ghanaian Frontline Healthcare Workers During the COVID-19 Pandemic and Healthcare Leadership Recommendations</v>
      </c>
      <c r="D284" s="8" t="s">
        <v>853</v>
      </c>
      <c r="E284" s="8" t="s">
        <v>562</v>
      </c>
      <c r="F284" s="8" t="s">
        <v>42</v>
      </c>
      <c r="G284" s="8" t="s">
        <v>44</v>
      </c>
      <c r="H284" s="8" t="s">
        <v>45</v>
      </c>
      <c r="I284" s="9" t="n">
        <v>0.166666666666667</v>
      </c>
      <c r="J284" s="8" t="s">
        <v>33</v>
      </c>
    </row>
    <row r="285" customFormat="false" ht="15" hidden="false" customHeight="false" outlineLevel="0" collapsed="false">
      <c r="A285" s="8" t="n">
        <v>2811</v>
      </c>
      <c r="B285" s="8" t="n">
        <v>69</v>
      </c>
      <c r="C285" s="8" t="str">
        <f aca="false">IFERROR(INDEX('Project Classifications'!$B$2:$B$231,MATCH(B285,'Project Classifications'!$A$2:$A$231,0)),"")</f>
        <v>Data for: Experiences of Ghanaian Frontline Healthcare Workers During the COVID-19 Pandemic and Healthcare Leadership Recommendations</v>
      </c>
      <c r="D285" s="8" t="s">
        <v>854</v>
      </c>
      <c r="E285" s="8" t="s">
        <v>574</v>
      </c>
      <c r="F285" s="8" t="s">
        <v>53</v>
      </c>
      <c r="G285" s="8" t="s">
        <v>55</v>
      </c>
      <c r="H285" s="8" t="s">
        <v>56</v>
      </c>
      <c r="I285" s="9" t="n">
        <v>0.285714285714286</v>
      </c>
      <c r="J285" s="8" t="s">
        <v>33</v>
      </c>
    </row>
    <row r="286" customFormat="false" ht="15" hidden="false" customHeight="false" outlineLevel="0" collapsed="false">
      <c r="A286" s="8" t="n">
        <v>2812</v>
      </c>
      <c r="B286" s="8" t="n">
        <v>70</v>
      </c>
      <c r="C286" s="8" t="str">
        <f aca="false">IFERROR(INDEX('Project Classifications'!$B$2:$B$231,MATCH(B286,'Project Classifications'!$A$2:$A$231,0)),"")</f>
        <v>Data for: Demand for law and the security of property rights: The case of Post-soviet Russia</v>
      </c>
      <c r="D286" s="8" t="s">
        <v>653</v>
      </c>
      <c r="E286" s="8" t="s">
        <v>654</v>
      </c>
      <c r="F286" s="8" t="s">
        <v>53</v>
      </c>
      <c r="G286" s="8" t="s">
        <v>55</v>
      </c>
      <c r="H286" s="8" t="s">
        <v>56</v>
      </c>
      <c r="I286" s="9" t="n">
        <v>0.142857142857143</v>
      </c>
      <c r="J286" s="8" t="s">
        <v>33</v>
      </c>
    </row>
    <row r="287" customFormat="false" ht="15" hidden="false" customHeight="false" outlineLevel="0" collapsed="false">
      <c r="A287" s="8" t="n">
        <v>2813</v>
      </c>
      <c r="B287" s="8" t="n">
        <v>70</v>
      </c>
      <c r="C287" s="8" t="str">
        <f aca="false">IFERROR(INDEX('Project Classifications'!$B$2:$B$231,MATCH(B287,'Project Classifications'!$A$2:$A$231,0)),"")</f>
        <v>Data for: Demand for law and the security of property rights: The case of Post-soviet Russia</v>
      </c>
      <c r="D287" s="8" t="s">
        <v>855</v>
      </c>
      <c r="E287" s="8" t="s">
        <v>562</v>
      </c>
      <c r="F287" s="8" t="s">
        <v>71</v>
      </c>
      <c r="G287" s="8" t="s">
        <v>83</v>
      </c>
      <c r="H287" s="8" t="s">
        <v>84</v>
      </c>
      <c r="I287" s="9" t="n">
        <v>0.25</v>
      </c>
      <c r="J287" s="8" t="s">
        <v>33</v>
      </c>
    </row>
    <row r="288" customFormat="false" ht="15" hidden="false" customHeight="false" outlineLevel="0" collapsed="false">
      <c r="A288" s="8" t="n">
        <v>2839</v>
      </c>
      <c r="B288" s="8" t="n">
        <v>71</v>
      </c>
      <c r="C288" s="8" t="str">
        <f aca="false">IFERROR(INDEX('Project Classifications'!$B$2:$B$231,MATCH(B288,'Project Classifications'!$A$2:$A$231,0)),"")</f>
        <v>Expanding Models of Delivery for Online Spiritual Care</v>
      </c>
      <c r="D288" s="8" t="s">
        <v>856</v>
      </c>
      <c r="E288" s="8" t="s">
        <v>562</v>
      </c>
      <c r="F288" s="8" t="s">
        <v>71</v>
      </c>
      <c r="G288" s="8" t="s">
        <v>73</v>
      </c>
      <c r="H288" s="8" t="s">
        <v>74</v>
      </c>
      <c r="I288" s="9" t="n">
        <v>0.0714285714285714</v>
      </c>
      <c r="J288" s="8" t="s">
        <v>33</v>
      </c>
    </row>
    <row r="289" customFormat="false" ht="15" hidden="false" customHeight="false" outlineLevel="0" collapsed="false">
      <c r="A289" s="8" t="n">
        <v>2840</v>
      </c>
      <c r="B289" s="8" t="n">
        <v>71</v>
      </c>
      <c r="C289" s="8" t="str">
        <f aca="false">IFERROR(INDEX('Project Classifications'!$B$2:$B$231,MATCH(B289,'Project Classifications'!$A$2:$A$231,0)),"")</f>
        <v>Expanding Models of Delivery for Online Spiritual Care</v>
      </c>
      <c r="D289" s="8" t="s">
        <v>857</v>
      </c>
      <c r="E289" s="8" t="s">
        <v>562</v>
      </c>
      <c r="F289" s="8" t="s">
        <v>42</v>
      </c>
      <c r="G289" s="8" t="s">
        <v>44</v>
      </c>
      <c r="H289" s="8" t="s">
        <v>45</v>
      </c>
      <c r="I289" s="9" t="n">
        <v>0.333333333333333</v>
      </c>
      <c r="J289" s="8" t="s">
        <v>33</v>
      </c>
    </row>
    <row r="290" customFormat="false" ht="15" hidden="false" customHeight="false" outlineLevel="0" collapsed="false">
      <c r="A290" s="8" t="n">
        <v>2841</v>
      </c>
      <c r="B290" s="8" t="n">
        <v>71</v>
      </c>
      <c r="C290" s="8" t="str">
        <f aca="false">IFERROR(INDEX('Project Classifications'!$B$2:$B$231,MATCH(B290,'Project Classifications'!$A$2:$A$231,0)),"")</f>
        <v>Expanding Models of Delivery for Online Spiritual Care</v>
      </c>
      <c r="D290" s="8" t="s">
        <v>858</v>
      </c>
      <c r="E290" s="8" t="s">
        <v>562</v>
      </c>
      <c r="F290" s="8" t="s">
        <v>42</v>
      </c>
      <c r="G290" s="8" t="s">
        <v>44</v>
      </c>
      <c r="H290" s="8" t="s">
        <v>45</v>
      </c>
      <c r="I290" s="9" t="n">
        <v>0.222222222222222</v>
      </c>
      <c r="J290" s="8" t="s">
        <v>33</v>
      </c>
    </row>
    <row r="291" customFormat="false" ht="15" hidden="false" customHeight="false" outlineLevel="0" collapsed="false">
      <c r="A291" s="8" t="n">
        <v>2842</v>
      </c>
      <c r="B291" s="8" t="n">
        <v>71</v>
      </c>
      <c r="C291" s="8" t="str">
        <f aca="false">IFERROR(INDEX('Project Classifications'!$B$2:$B$231,MATCH(B291,'Project Classifications'!$A$2:$A$231,0)),"")</f>
        <v>Expanding Models of Delivery for Online Spiritual Care</v>
      </c>
      <c r="D291" s="8" t="s">
        <v>859</v>
      </c>
      <c r="E291" s="8" t="s">
        <v>562</v>
      </c>
      <c r="F291" s="8" t="s">
        <v>48</v>
      </c>
      <c r="G291" s="8" t="s">
        <v>50</v>
      </c>
      <c r="H291" s="8" t="s">
        <v>49</v>
      </c>
      <c r="I291" s="9" t="n">
        <v>0.1875</v>
      </c>
      <c r="J291" s="8" t="s">
        <v>33</v>
      </c>
    </row>
    <row r="292" customFormat="false" ht="15" hidden="false" customHeight="false" outlineLevel="0" collapsed="false">
      <c r="A292" s="8" t="n">
        <v>2843</v>
      </c>
      <c r="B292" s="8" t="n">
        <v>71</v>
      </c>
      <c r="C292" s="8" t="str">
        <f aca="false">IFERROR(INDEX('Project Classifications'!$B$2:$B$231,MATCH(B292,'Project Classifications'!$A$2:$A$231,0)),"")</f>
        <v>Expanding Models of Delivery for Online Spiritual Care</v>
      </c>
      <c r="D292" s="8" t="s">
        <v>860</v>
      </c>
      <c r="E292" s="8" t="s">
        <v>562</v>
      </c>
      <c r="F292" s="8" t="s">
        <v>305</v>
      </c>
      <c r="G292" s="8" t="s">
        <v>307</v>
      </c>
      <c r="H292" s="8" t="s">
        <v>306</v>
      </c>
      <c r="I292" s="9" t="n">
        <v>0</v>
      </c>
      <c r="J292" s="8" t="s">
        <v>33</v>
      </c>
    </row>
    <row r="293" customFormat="false" ht="15" hidden="false" customHeight="false" outlineLevel="0" collapsed="false">
      <c r="A293" s="8" t="n">
        <v>2868</v>
      </c>
      <c r="B293" s="8" t="n">
        <v>71</v>
      </c>
      <c r="C293" s="8" t="str">
        <f aca="false">IFERROR(INDEX('Project Classifications'!$B$2:$B$231,MATCH(B293,'Project Classifications'!$A$2:$A$231,0)),"")</f>
        <v>Expanding Models of Delivery for Online Spiritual Care</v>
      </c>
      <c r="D293" s="8" t="s">
        <v>861</v>
      </c>
      <c r="E293" s="8" t="s">
        <v>574</v>
      </c>
      <c r="F293" s="8" t="s">
        <v>53</v>
      </c>
      <c r="G293" s="8" t="s">
        <v>55</v>
      </c>
      <c r="H293" s="8" t="s">
        <v>56</v>
      </c>
      <c r="I293" s="9" t="n">
        <v>0.285714285714286</v>
      </c>
      <c r="J293" s="8" t="s">
        <v>33</v>
      </c>
    </row>
    <row r="294" customFormat="false" ht="15" hidden="false" customHeight="false" outlineLevel="0" collapsed="false">
      <c r="A294" s="8" t="n">
        <v>2869</v>
      </c>
      <c r="B294" s="8" t="n">
        <v>72</v>
      </c>
      <c r="C294" s="8" t="str">
        <f aca="false">IFERROR(INDEX('Project Classifications'!$B$2:$B$231,MATCH(B294,'Project Classifications'!$A$2:$A$231,0)),"")</f>
        <v>Data for: Why Is Secondary School Mathematics Difficult to Learn? From the Perspectives of In-Service Teachers and Cognitive Load Theory</v>
      </c>
      <c r="D294" s="8" t="s">
        <v>862</v>
      </c>
      <c r="E294" s="8" t="s">
        <v>562</v>
      </c>
      <c r="F294" s="8" t="s">
        <v>48</v>
      </c>
      <c r="G294" s="8" t="s">
        <v>50</v>
      </c>
      <c r="H294" s="8" t="s">
        <v>49</v>
      </c>
      <c r="I294" s="9" t="n">
        <v>0.0625</v>
      </c>
      <c r="J294" s="8" t="s">
        <v>33</v>
      </c>
    </row>
    <row r="295" customFormat="false" ht="15" hidden="false" customHeight="false" outlineLevel="0" collapsed="false">
      <c r="A295" s="8" t="n">
        <v>2870</v>
      </c>
      <c r="B295" s="8" t="n">
        <v>72</v>
      </c>
      <c r="C295" s="8" t="str">
        <f aca="false">IFERROR(INDEX('Project Classifications'!$B$2:$B$231,MATCH(B295,'Project Classifications'!$A$2:$A$231,0)),"")</f>
        <v>Data for: Why Is Secondary School Mathematics Difficult to Learn? From the Perspectives of In-Service Teachers and Cognitive Load Theory</v>
      </c>
      <c r="D295" s="8" t="s">
        <v>863</v>
      </c>
      <c r="E295" s="8" t="s">
        <v>562</v>
      </c>
      <c r="F295" s="8" t="s">
        <v>48</v>
      </c>
      <c r="G295" s="8" t="s">
        <v>50</v>
      </c>
      <c r="H295" s="8" t="s">
        <v>49</v>
      </c>
      <c r="I295" s="9" t="n">
        <v>0.375</v>
      </c>
      <c r="J295" s="8" t="s">
        <v>33</v>
      </c>
    </row>
    <row r="296" customFormat="false" ht="15" hidden="false" customHeight="false" outlineLevel="0" collapsed="false">
      <c r="A296" s="8" t="n">
        <v>2871</v>
      </c>
      <c r="B296" s="8" t="n">
        <v>72</v>
      </c>
      <c r="C296" s="8" t="str">
        <f aca="false">IFERROR(INDEX('Project Classifications'!$B$2:$B$231,MATCH(B296,'Project Classifications'!$A$2:$A$231,0)),"")</f>
        <v>Data for: Why Is Secondary School Mathematics Difficult to Learn? From the Perspectives of In-Service Teachers and Cognitive Load Theory</v>
      </c>
      <c r="D296" s="8" t="s">
        <v>864</v>
      </c>
      <c r="E296" s="8" t="s">
        <v>562</v>
      </c>
      <c r="F296" s="8" t="s">
        <v>48</v>
      </c>
      <c r="G296" s="8" t="s">
        <v>50</v>
      </c>
      <c r="H296" s="8" t="s">
        <v>49</v>
      </c>
      <c r="I296" s="9" t="n">
        <v>0.375</v>
      </c>
      <c r="J296" s="8" t="s">
        <v>33</v>
      </c>
    </row>
    <row r="297" customFormat="false" ht="15" hidden="false" customHeight="false" outlineLevel="0" collapsed="false">
      <c r="A297" s="8" t="n">
        <v>2883</v>
      </c>
      <c r="B297" s="8" t="n">
        <v>72</v>
      </c>
      <c r="C297" s="8" t="str">
        <f aca="false">IFERROR(INDEX('Project Classifications'!$B$2:$B$231,MATCH(B297,'Project Classifications'!$A$2:$A$231,0)),"")</f>
        <v>Data for: Why Is Secondary School Mathematics Difficult to Learn? From the Perspectives of In-Service Teachers and Cognitive Load Theory</v>
      </c>
      <c r="D297" s="8" t="s">
        <v>865</v>
      </c>
      <c r="E297" s="8" t="s">
        <v>562</v>
      </c>
      <c r="F297" s="8" t="s">
        <v>48</v>
      </c>
      <c r="G297" s="8" t="s">
        <v>50</v>
      </c>
      <c r="H297" s="8" t="s">
        <v>49</v>
      </c>
      <c r="I297" s="9" t="n">
        <v>0.125</v>
      </c>
      <c r="J297" s="8" t="s">
        <v>33</v>
      </c>
    </row>
    <row r="298" customFormat="false" ht="15" hidden="false" customHeight="false" outlineLevel="0" collapsed="false">
      <c r="A298" s="8" t="n">
        <v>2884</v>
      </c>
      <c r="B298" s="8" t="n">
        <v>72</v>
      </c>
      <c r="C298" s="8" t="str">
        <f aca="false">IFERROR(INDEX('Project Classifications'!$B$2:$B$231,MATCH(B298,'Project Classifications'!$A$2:$A$231,0)),"")</f>
        <v>Data for: Why Is Secondary School Mathematics Difficult to Learn? From the Perspectives of In-Service Teachers and Cognitive Load Theory</v>
      </c>
      <c r="D298" s="8" t="s">
        <v>866</v>
      </c>
      <c r="E298" s="8" t="s">
        <v>574</v>
      </c>
      <c r="F298" s="8" t="s">
        <v>48</v>
      </c>
      <c r="G298" s="8" t="s">
        <v>50</v>
      </c>
      <c r="H298" s="8" t="s">
        <v>49</v>
      </c>
      <c r="I298" s="9" t="n">
        <v>0.25</v>
      </c>
      <c r="J298" s="8" t="s">
        <v>33</v>
      </c>
    </row>
    <row r="299" customFormat="false" ht="15" hidden="false" customHeight="false" outlineLevel="0" collapsed="false">
      <c r="A299" s="8" t="n">
        <v>2885</v>
      </c>
      <c r="B299" s="8" t="n">
        <v>73</v>
      </c>
      <c r="C299" s="8" t="str">
        <f aca="false">IFERROR(INDEX('Project Classifications'!$B$2:$B$231,MATCH(B299,'Project Classifications'!$A$2:$A$231,0)),"")</f>
        <v>Data for: Lessons Learned from Operationalizing the Integration of Nutrition-Specific and Nutrition-Sensitive Interventions in Rural Ethiopia</v>
      </c>
      <c r="D299" s="8" t="s">
        <v>867</v>
      </c>
      <c r="E299" s="8" t="s">
        <v>562</v>
      </c>
      <c r="F299" s="8" t="s">
        <v>42</v>
      </c>
      <c r="G299" s="8" t="s">
        <v>44</v>
      </c>
      <c r="H299" s="8" t="s">
        <v>45</v>
      </c>
      <c r="I299" s="9" t="n">
        <v>0.111111111111111</v>
      </c>
      <c r="J299" s="8" t="s">
        <v>33</v>
      </c>
    </row>
    <row r="300" customFormat="false" ht="15" hidden="false" customHeight="false" outlineLevel="0" collapsed="false">
      <c r="A300" s="8" t="n">
        <v>2886</v>
      </c>
      <c r="B300" s="8" t="n">
        <v>73</v>
      </c>
      <c r="C300" s="8" t="str">
        <f aca="false">IFERROR(INDEX('Project Classifications'!$B$2:$B$231,MATCH(B300,'Project Classifications'!$A$2:$A$231,0)),"")</f>
        <v>Data for: Lessons Learned from Operationalizing the Integration of Nutrition-Specific and Nutrition-Sensitive Interventions in Rural Ethiopia</v>
      </c>
      <c r="D300" s="8" t="s">
        <v>868</v>
      </c>
      <c r="E300" s="8" t="s">
        <v>562</v>
      </c>
      <c r="F300" s="8" t="s">
        <v>42</v>
      </c>
      <c r="G300" s="8" t="s">
        <v>44</v>
      </c>
      <c r="H300" s="8" t="s">
        <v>45</v>
      </c>
      <c r="I300" s="9" t="n">
        <v>0.111111111111111</v>
      </c>
      <c r="J300" s="8" t="s">
        <v>33</v>
      </c>
    </row>
    <row r="301" customFormat="false" ht="15" hidden="false" customHeight="false" outlineLevel="0" collapsed="false">
      <c r="A301" s="8" t="n">
        <v>2910</v>
      </c>
      <c r="B301" s="8" t="n">
        <v>73</v>
      </c>
      <c r="C301" s="8" t="str">
        <f aca="false">IFERROR(INDEX('Project Classifications'!$B$2:$B$231,MATCH(B301,'Project Classifications'!$A$2:$A$231,0)),"")</f>
        <v>Data for: Lessons Learned from Operationalizing the Integration of Nutrition-Specific and Nutrition-Sensitive Interventions in Rural Ethiopia</v>
      </c>
      <c r="D301" s="8" t="s">
        <v>869</v>
      </c>
      <c r="E301" s="8" t="s">
        <v>562</v>
      </c>
      <c r="F301" s="8" t="s">
        <v>179</v>
      </c>
      <c r="G301" s="8" t="s">
        <v>181</v>
      </c>
      <c r="H301" s="8" t="s">
        <v>182</v>
      </c>
      <c r="I301" s="9" t="n">
        <v>0.333333333333333</v>
      </c>
      <c r="J301" s="8" t="s">
        <v>33</v>
      </c>
    </row>
    <row r="302" customFormat="false" ht="15" hidden="false" customHeight="false" outlineLevel="0" collapsed="false">
      <c r="A302" s="8" t="n">
        <v>2911</v>
      </c>
      <c r="B302" s="8" t="n">
        <v>73</v>
      </c>
      <c r="C302" s="8" t="str">
        <f aca="false">IFERROR(INDEX('Project Classifications'!$B$2:$B$231,MATCH(B302,'Project Classifications'!$A$2:$A$231,0)),"")</f>
        <v>Data for: Lessons Learned from Operationalizing the Integration of Nutrition-Specific and Nutrition-Sensitive Interventions in Rural Ethiopia</v>
      </c>
      <c r="D302" s="8" t="s">
        <v>870</v>
      </c>
      <c r="E302" s="8" t="s">
        <v>574</v>
      </c>
      <c r="F302" s="8" t="s">
        <v>53</v>
      </c>
      <c r="G302" s="8" t="s">
        <v>55</v>
      </c>
      <c r="H302" s="8" t="s">
        <v>56</v>
      </c>
      <c r="I302" s="9" t="n">
        <v>0.285714285714286</v>
      </c>
      <c r="J302" s="8" t="s">
        <v>33</v>
      </c>
    </row>
    <row r="303" customFormat="false" ht="15" hidden="false" customHeight="false" outlineLevel="0" collapsed="false">
      <c r="A303" s="8" t="n">
        <v>2914</v>
      </c>
      <c r="B303" s="8" t="n">
        <v>74</v>
      </c>
      <c r="C303" s="8" t="str">
        <f aca="false">IFERROR(INDEX('Project Classifications'!$B$2:$B$231,MATCH(B303,'Project Classifications'!$A$2:$A$231,0)),"")</f>
        <v>Data for: A Comparative Case Study of Enhanced Geothermal Systems: Interacting Imaginaries of Place and Energy in Renewable Energy Transitions</v>
      </c>
      <c r="D303" s="8" t="s">
        <v>871</v>
      </c>
      <c r="E303" s="8" t="s">
        <v>778</v>
      </c>
      <c r="F303" s="8" t="s">
        <v>48</v>
      </c>
      <c r="G303" s="8" t="s">
        <v>50</v>
      </c>
      <c r="H303" s="8" t="s">
        <v>49</v>
      </c>
      <c r="I303" s="9" t="n">
        <v>0</v>
      </c>
      <c r="J303" s="8" t="s">
        <v>741</v>
      </c>
    </row>
    <row r="304" customFormat="false" ht="15" hidden="false" customHeight="false" outlineLevel="0" collapsed="false">
      <c r="A304" s="8" t="n">
        <v>2915</v>
      </c>
      <c r="B304" s="8" t="n">
        <v>74</v>
      </c>
      <c r="C304" s="8" t="str">
        <f aca="false">IFERROR(INDEX('Project Classifications'!$B$2:$B$231,MATCH(B304,'Project Classifications'!$A$2:$A$231,0)),"")</f>
        <v>Data for: A Comparative Case Study of Enhanced Geothermal Systems: Interacting Imaginaries of Place and Energy in Renewable Energy Transitions</v>
      </c>
      <c r="D304" s="8" t="s">
        <v>872</v>
      </c>
      <c r="E304" s="8" t="s">
        <v>562</v>
      </c>
      <c r="F304" s="8" t="s">
        <v>97</v>
      </c>
      <c r="G304" s="8" t="s">
        <v>99</v>
      </c>
      <c r="H304" s="8" t="s">
        <v>100</v>
      </c>
      <c r="I304" s="9" t="n">
        <v>0.142857142857143</v>
      </c>
      <c r="J304" s="8" t="s">
        <v>33</v>
      </c>
    </row>
    <row r="305" customFormat="false" ht="15" hidden="false" customHeight="false" outlineLevel="0" collapsed="false">
      <c r="A305" s="8" t="n">
        <v>2916</v>
      </c>
      <c r="B305" s="8" t="n">
        <v>74</v>
      </c>
      <c r="C305" s="8" t="str">
        <f aca="false">IFERROR(INDEX('Project Classifications'!$B$2:$B$231,MATCH(B305,'Project Classifications'!$A$2:$A$231,0)),"")</f>
        <v>Data for: A Comparative Case Study of Enhanced Geothermal Systems: Interacting Imaginaries of Place and Energy in Renewable Energy Transitions</v>
      </c>
      <c r="D305" s="8" t="s">
        <v>873</v>
      </c>
      <c r="E305" s="8" t="s">
        <v>562</v>
      </c>
      <c r="F305" s="8" t="s">
        <v>48</v>
      </c>
      <c r="G305" s="8" t="s">
        <v>50</v>
      </c>
      <c r="H305" s="8" t="s">
        <v>49</v>
      </c>
      <c r="I305" s="9" t="n">
        <v>0.0625</v>
      </c>
      <c r="J305" s="8" t="s">
        <v>33</v>
      </c>
    </row>
    <row r="306" customFormat="false" ht="15" hidden="false" customHeight="false" outlineLevel="0" collapsed="false">
      <c r="A306" s="8" t="n">
        <v>2917</v>
      </c>
      <c r="B306" s="8" t="n">
        <v>74</v>
      </c>
      <c r="C306" s="8" t="str">
        <f aca="false">IFERROR(INDEX('Project Classifications'!$B$2:$B$231,MATCH(B306,'Project Classifications'!$A$2:$A$231,0)),"")</f>
        <v>Data for: A Comparative Case Study of Enhanced Geothermal Systems: Interacting Imaginaries of Place and Energy in Renewable Energy Transitions</v>
      </c>
      <c r="D306" s="8" t="s">
        <v>874</v>
      </c>
      <c r="E306" s="8" t="s">
        <v>562</v>
      </c>
      <c r="F306" s="8" t="s">
        <v>48</v>
      </c>
      <c r="G306" s="8" t="s">
        <v>50</v>
      </c>
      <c r="H306" s="8" t="s">
        <v>49</v>
      </c>
      <c r="I306" s="9" t="n">
        <v>0.0625</v>
      </c>
      <c r="J306" s="8" t="s">
        <v>33</v>
      </c>
    </row>
    <row r="307" customFormat="false" ht="15" hidden="false" customHeight="false" outlineLevel="0" collapsed="false">
      <c r="A307" s="8" t="n">
        <v>2919</v>
      </c>
      <c r="B307" s="8" t="n">
        <v>74</v>
      </c>
      <c r="C307" s="8" t="str">
        <f aca="false">IFERROR(INDEX('Project Classifications'!$B$2:$B$231,MATCH(B307,'Project Classifications'!$A$2:$A$231,0)),"")</f>
        <v>Data for: A Comparative Case Study of Enhanced Geothermal Systems: Interacting Imaginaries of Place and Energy in Renewable Energy Transitions</v>
      </c>
      <c r="D307" s="8" t="s">
        <v>875</v>
      </c>
      <c r="E307" s="8" t="s">
        <v>562</v>
      </c>
      <c r="F307" s="8" t="s">
        <v>48</v>
      </c>
      <c r="G307" s="8" t="s">
        <v>50</v>
      </c>
      <c r="H307" s="8" t="s">
        <v>49</v>
      </c>
      <c r="I307" s="9" t="n">
        <v>0.125</v>
      </c>
      <c r="J307" s="8" t="s">
        <v>33</v>
      </c>
    </row>
    <row r="308" customFormat="false" ht="15" hidden="false" customHeight="false" outlineLevel="0" collapsed="false">
      <c r="A308" s="8" t="n">
        <v>2920</v>
      </c>
      <c r="B308" s="8" t="n">
        <v>74</v>
      </c>
      <c r="C308" s="8" t="str">
        <f aca="false">IFERROR(INDEX('Project Classifications'!$B$2:$B$231,MATCH(B308,'Project Classifications'!$A$2:$A$231,0)),"")</f>
        <v>Data for: A Comparative Case Study of Enhanced Geothermal Systems: Interacting Imaginaries of Place and Energy in Renewable Energy Transitions</v>
      </c>
      <c r="D308" s="8" t="s">
        <v>876</v>
      </c>
      <c r="E308" s="8" t="s">
        <v>562</v>
      </c>
      <c r="F308" s="8" t="s">
        <v>305</v>
      </c>
      <c r="G308" s="8" t="s">
        <v>307</v>
      </c>
      <c r="H308" s="8" t="s">
        <v>306</v>
      </c>
      <c r="I308" s="9" t="n">
        <v>0</v>
      </c>
      <c r="J308" s="8" t="s">
        <v>33</v>
      </c>
    </row>
    <row r="309" customFormat="false" ht="15" hidden="false" customHeight="false" outlineLevel="0" collapsed="false">
      <c r="A309" s="8" t="n">
        <v>2923</v>
      </c>
      <c r="B309" s="8" t="n">
        <v>74</v>
      </c>
      <c r="C309" s="8" t="str">
        <f aca="false">IFERROR(INDEX('Project Classifications'!$B$2:$B$231,MATCH(B309,'Project Classifications'!$A$2:$A$231,0)),"")</f>
        <v>Data for: A Comparative Case Study of Enhanced Geothermal Systems: Interacting Imaginaries of Place and Energy in Renewable Energy Transitions</v>
      </c>
      <c r="D309" s="8" t="s">
        <v>877</v>
      </c>
      <c r="E309" s="8" t="s">
        <v>562</v>
      </c>
      <c r="F309" s="8" t="s">
        <v>42</v>
      </c>
      <c r="G309" s="8" t="s">
        <v>44</v>
      </c>
      <c r="H309" s="8" t="s">
        <v>45</v>
      </c>
      <c r="I309" s="9" t="n">
        <v>0.111111111111111</v>
      </c>
      <c r="J309" s="8" t="s">
        <v>33</v>
      </c>
    </row>
    <row r="310" customFormat="false" ht="15" hidden="false" customHeight="false" outlineLevel="0" collapsed="false">
      <c r="A310" s="8" t="n">
        <v>2924</v>
      </c>
      <c r="B310" s="8" t="n">
        <v>74</v>
      </c>
      <c r="C310" s="8" t="str">
        <f aca="false">IFERROR(INDEX('Project Classifications'!$B$2:$B$231,MATCH(B310,'Project Classifications'!$A$2:$A$231,0)),"")</f>
        <v>Data for: A Comparative Case Study of Enhanced Geothermal Systems: Interacting Imaginaries of Place and Energy in Renewable Energy Transitions</v>
      </c>
      <c r="D310" s="8" t="s">
        <v>878</v>
      </c>
      <c r="E310" s="8" t="s">
        <v>562</v>
      </c>
      <c r="F310" s="8" t="s">
        <v>42</v>
      </c>
      <c r="G310" s="8" t="s">
        <v>44</v>
      </c>
      <c r="H310" s="8" t="s">
        <v>45</v>
      </c>
      <c r="I310" s="9" t="n">
        <v>0.0555555555555556</v>
      </c>
      <c r="J310" s="8" t="s">
        <v>33</v>
      </c>
    </row>
    <row r="311" customFormat="false" ht="15" hidden="false" customHeight="false" outlineLevel="0" collapsed="false">
      <c r="A311" s="8" t="n">
        <v>2925</v>
      </c>
      <c r="B311" s="8" t="n">
        <v>74</v>
      </c>
      <c r="C311" s="8" t="str">
        <f aca="false">IFERROR(INDEX('Project Classifications'!$B$2:$B$231,MATCH(B311,'Project Classifications'!$A$2:$A$231,0)),"")</f>
        <v>Data for: A Comparative Case Study of Enhanced Geothermal Systems: Interacting Imaginaries of Place and Energy in Renewable Energy Transitions</v>
      </c>
      <c r="D311" s="8" t="s">
        <v>879</v>
      </c>
      <c r="E311" s="8" t="s">
        <v>562</v>
      </c>
      <c r="F311" s="8" t="s">
        <v>48</v>
      </c>
      <c r="G311" s="8" t="s">
        <v>50</v>
      </c>
      <c r="H311" s="8" t="s">
        <v>49</v>
      </c>
      <c r="I311" s="9" t="n">
        <v>0.0625</v>
      </c>
      <c r="J311" s="8" t="s">
        <v>33</v>
      </c>
    </row>
    <row r="312" customFormat="false" ht="15" hidden="false" customHeight="false" outlineLevel="0" collapsed="false">
      <c r="A312" s="8" t="n">
        <v>2926</v>
      </c>
      <c r="B312" s="8" t="n">
        <v>74</v>
      </c>
      <c r="C312" s="8" t="str">
        <f aca="false">IFERROR(INDEX('Project Classifications'!$B$2:$B$231,MATCH(B312,'Project Classifications'!$A$2:$A$231,0)),"")</f>
        <v>Data for: A Comparative Case Study of Enhanced Geothermal Systems: Interacting Imaginaries of Place and Energy in Renewable Energy Transitions</v>
      </c>
      <c r="D312" s="8" t="s">
        <v>880</v>
      </c>
      <c r="E312" s="8" t="s">
        <v>562</v>
      </c>
      <c r="F312" s="8" t="s">
        <v>305</v>
      </c>
      <c r="G312" s="8" t="s">
        <v>307</v>
      </c>
      <c r="H312" s="8" t="s">
        <v>306</v>
      </c>
      <c r="I312" s="9" t="n">
        <v>0</v>
      </c>
      <c r="J312" s="8" t="s">
        <v>33</v>
      </c>
    </row>
    <row r="313" customFormat="false" ht="15" hidden="false" customHeight="false" outlineLevel="0" collapsed="false">
      <c r="A313" s="8" t="n">
        <v>2927</v>
      </c>
      <c r="B313" s="8" t="n">
        <v>74</v>
      </c>
      <c r="C313" s="8" t="str">
        <f aca="false">IFERROR(INDEX('Project Classifications'!$B$2:$B$231,MATCH(B313,'Project Classifications'!$A$2:$A$231,0)),"")</f>
        <v>Data for: A Comparative Case Study of Enhanced Geothermal Systems: Interacting Imaginaries of Place and Energy in Renewable Energy Transitions</v>
      </c>
      <c r="D313" s="8" t="s">
        <v>881</v>
      </c>
      <c r="E313" s="8" t="s">
        <v>562</v>
      </c>
      <c r="F313" s="8" t="s">
        <v>305</v>
      </c>
      <c r="G313" s="8" t="s">
        <v>307</v>
      </c>
      <c r="H313" s="8" t="s">
        <v>306</v>
      </c>
      <c r="I313" s="9" t="n">
        <v>0</v>
      </c>
      <c r="J313" s="8" t="s">
        <v>33</v>
      </c>
    </row>
    <row r="314" customFormat="false" ht="15" hidden="false" customHeight="false" outlineLevel="0" collapsed="false">
      <c r="A314" s="8" t="n">
        <v>2928</v>
      </c>
      <c r="B314" s="8" t="n">
        <v>74</v>
      </c>
      <c r="C314" s="8" t="str">
        <f aca="false">IFERROR(INDEX('Project Classifications'!$B$2:$B$231,MATCH(B314,'Project Classifications'!$A$2:$A$231,0)),"")</f>
        <v>Data for: A Comparative Case Study of Enhanced Geothermal Systems: Interacting Imaginaries of Place and Energy in Renewable Energy Transitions</v>
      </c>
      <c r="D314" s="8" t="s">
        <v>882</v>
      </c>
      <c r="E314" s="8" t="s">
        <v>562</v>
      </c>
      <c r="F314" s="8" t="s">
        <v>48</v>
      </c>
      <c r="G314" s="8" t="s">
        <v>50</v>
      </c>
      <c r="H314" s="8" t="s">
        <v>49</v>
      </c>
      <c r="I314" s="9" t="n">
        <v>0.0625</v>
      </c>
      <c r="J314" s="8" t="s">
        <v>33</v>
      </c>
    </row>
    <row r="315" customFormat="false" ht="15" hidden="false" customHeight="false" outlineLevel="0" collapsed="false">
      <c r="A315" s="8" t="n">
        <v>2964</v>
      </c>
      <c r="B315" s="8" t="n">
        <v>74</v>
      </c>
      <c r="C315" s="8" t="str">
        <f aca="false">IFERROR(INDEX('Project Classifications'!$B$2:$B$231,MATCH(B315,'Project Classifications'!$A$2:$A$231,0)),"")</f>
        <v>Data for: A Comparative Case Study of Enhanced Geothermal Systems: Interacting Imaginaries of Place and Energy in Renewable Energy Transitions</v>
      </c>
      <c r="D315" s="8" t="s">
        <v>883</v>
      </c>
      <c r="E315" s="8" t="s">
        <v>574</v>
      </c>
      <c r="F315" s="8" t="s">
        <v>48</v>
      </c>
      <c r="G315" s="8" t="s">
        <v>50</v>
      </c>
      <c r="H315" s="8" t="s">
        <v>49</v>
      </c>
      <c r="I315" s="9" t="n">
        <v>0.125</v>
      </c>
      <c r="J315" s="8" t="s">
        <v>33</v>
      </c>
    </row>
    <row r="316" customFormat="false" ht="15" hidden="false" customHeight="false" outlineLevel="0" collapsed="false">
      <c r="A316" s="8" t="n">
        <v>2976</v>
      </c>
      <c r="B316" s="8" t="n">
        <v>75</v>
      </c>
      <c r="C316" s="8" t="str">
        <f aca="false">IFERROR(INDEX('Project Classifications'!$B$2:$B$231,MATCH(B316,'Project Classifications'!$A$2:$A$231,0)),"")</f>
        <v>Data for: Mothering in the Time of Coronavirus</v>
      </c>
      <c r="D316" s="8" t="s">
        <v>884</v>
      </c>
      <c r="E316" s="8" t="s">
        <v>562</v>
      </c>
      <c r="F316" s="8" t="s">
        <v>48</v>
      </c>
      <c r="G316" s="8" t="s">
        <v>50</v>
      </c>
      <c r="H316" s="8" t="s">
        <v>49</v>
      </c>
      <c r="I316" s="9" t="n">
        <v>0.375</v>
      </c>
      <c r="J316" s="8" t="s">
        <v>33</v>
      </c>
    </row>
    <row r="317" customFormat="false" ht="15" hidden="false" customHeight="false" outlineLevel="0" collapsed="false">
      <c r="A317" s="8" t="n">
        <v>2990</v>
      </c>
      <c r="B317" s="8" t="n">
        <v>75</v>
      </c>
      <c r="C317" s="8" t="str">
        <f aca="false">IFERROR(INDEX('Project Classifications'!$B$2:$B$231,MATCH(B317,'Project Classifications'!$A$2:$A$231,0)),"")</f>
        <v>Data for: Mothering in the Time of Coronavirus</v>
      </c>
      <c r="D317" s="8" t="s">
        <v>885</v>
      </c>
      <c r="E317" s="8" t="s">
        <v>562</v>
      </c>
      <c r="F317" s="8" t="s">
        <v>48</v>
      </c>
      <c r="G317" s="8" t="s">
        <v>50</v>
      </c>
      <c r="H317" s="8" t="s">
        <v>49</v>
      </c>
      <c r="I317" s="9" t="n">
        <v>0.125</v>
      </c>
      <c r="J317" s="8" t="s">
        <v>33</v>
      </c>
    </row>
    <row r="318" customFormat="false" ht="15" hidden="false" customHeight="false" outlineLevel="0" collapsed="false">
      <c r="A318" s="8" t="n">
        <v>2991</v>
      </c>
      <c r="B318" s="8" t="n">
        <v>75</v>
      </c>
      <c r="C318" s="8" t="str">
        <f aca="false">IFERROR(INDEX('Project Classifications'!$B$2:$B$231,MATCH(B318,'Project Classifications'!$A$2:$A$231,0)),"")</f>
        <v>Data for: Mothering in the Time of Coronavirus</v>
      </c>
      <c r="D318" s="8" t="s">
        <v>886</v>
      </c>
      <c r="E318" s="8" t="s">
        <v>562</v>
      </c>
      <c r="F318" s="8" t="s">
        <v>48</v>
      </c>
      <c r="G318" s="8" t="s">
        <v>50</v>
      </c>
      <c r="H318" s="8" t="s">
        <v>49</v>
      </c>
      <c r="I318" s="9" t="n">
        <v>0.25</v>
      </c>
      <c r="J318" s="8" t="s">
        <v>33</v>
      </c>
    </row>
    <row r="319" customFormat="false" ht="15" hidden="false" customHeight="false" outlineLevel="0" collapsed="false">
      <c r="A319" s="8" t="n">
        <v>3032</v>
      </c>
      <c r="B319" s="8" t="n">
        <v>75</v>
      </c>
      <c r="C319" s="8" t="str">
        <f aca="false">IFERROR(INDEX('Project Classifications'!$B$2:$B$231,MATCH(B319,'Project Classifications'!$A$2:$A$231,0)),"")</f>
        <v>Data for: Mothering in the Time of Coronavirus</v>
      </c>
      <c r="D319" s="8" t="s">
        <v>887</v>
      </c>
      <c r="E319" s="8" t="s">
        <v>574</v>
      </c>
      <c r="F319" s="8" t="s">
        <v>48</v>
      </c>
      <c r="G319" s="8" t="s">
        <v>50</v>
      </c>
      <c r="H319" s="8" t="s">
        <v>49</v>
      </c>
      <c r="I319" s="9" t="n">
        <v>0.25</v>
      </c>
      <c r="J319" s="8" t="s">
        <v>33</v>
      </c>
    </row>
    <row r="320" customFormat="false" ht="15" hidden="false" customHeight="false" outlineLevel="0" collapsed="false">
      <c r="A320" s="8" t="n">
        <v>3033</v>
      </c>
      <c r="B320" s="8" t="n">
        <v>76</v>
      </c>
      <c r="C320" s="8" t="str">
        <f aca="false">IFERROR(INDEX('Project Classifications'!$B$2:$B$231,MATCH(B320,'Project Classifications'!$A$2:$A$231,0)),"")</f>
        <v>Hate speech and France's court of cassation</v>
      </c>
      <c r="D320" s="8" t="s">
        <v>888</v>
      </c>
      <c r="E320" s="8" t="s">
        <v>562</v>
      </c>
      <c r="F320" s="8" t="s">
        <v>53</v>
      </c>
      <c r="G320" s="8" t="s">
        <v>55</v>
      </c>
      <c r="H320" s="8" t="s">
        <v>56</v>
      </c>
      <c r="I320" s="9" t="n">
        <v>0.142857142857143</v>
      </c>
      <c r="J320" s="8" t="s">
        <v>33</v>
      </c>
    </row>
    <row r="321" customFormat="false" ht="15" hidden="false" customHeight="false" outlineLevel="0" collapsed="false">
      <c r="A321" s="8" t="n">
        <v>3034</v>
      </c>
      <c r="B321" s="8" t="n">
        <v>76</v>
      </c>
      <c r="C321" s="8" t="str">
        <f aca="false">IFERROR(INDEX('Project Classifications'!$B$2:$B$231,MATCH(B321,'Project Classifications'!$A$2:$A$231,0)),"")</f>
        <v>Hate speech and France's court of cassation</v>
      </c>
      <c r="D321" s="8" t="s">
        <v>889</v>
      </c>
      <c r="E321" s="8" t="s">
        <v>562</v>
      </c>
      <c r="F321" s="8" t="s">
        <v>305</v>
      </c>
      <c r="G321" s="8" t="s">
        <v>307</v>
      </c>
      <c r="H321" s="8" t="s">
        <v>306</v>
      </c>
      <c r="I321" s="9" t="n">
        <v>0</v>
      </c>
      <c r="J321" s="8" t="s">
        <v>33</v>
      </c>
    </row>
    <row r="322" customFormat="false" ht="15" hidden="false" customHeight="false" outlineLevel="0" collapsed="false">
      <c r="A322" s="8" t="n">
        <v>3035</v>
      </c>
      <c r="B322" s="8" t="n">
        <v>76</v>
      </c>
      <c r="C322" s="8" t="str">
        <f aca="false">IFERROR(INDEX('Project Classifications'!$B$2:$B$231,MATCH(B322,'Project Classifications'!$A$2:$A$231,0)),"")</f>
        <v>Hate speech and France's court of cassation</v>
      </c>
      <c r="D322" s="8" t="s">
        <v>890</v>
      </c>
      <c r="E322" s="8" t="s">
        <v>574</v>
      </c>
      <c r="F322" s="8" t="s">
        <v>53</v>
      </c>
      <c r="G322" s="8" t="s">
        <v>55</v>
      </c>
      <c r="H322" s="8" t="s">
        <v>56</v>
      </c>
      <c r="I322" s="9" t="n">
        <v>0.142857142857143</v>
      </c>
      <c r="J322" s="8" t="s">
        <v>33</v>
      </c>
    </row>
    <row r="323" customFormat="false" ht="15" hidden="false" customHeight="false" outlineLevel="0" collapsed="false">
      <c r="A323" s="8" t="n">
        <v>3053</v>
      </c>
      <c r="B323" s="8" t="n">
        <v>77</v>
      </c>
      <c r="C323" s="8" t="str">
        <f aca="false">IFERROR(INDEX('Project Classifications'!$B$2:$B$231,MATCH(B323,'Project Classifications'!$A$2:$A$231,0)),"")</f>
        <v>Mapping Narratives on Mental Health: Data from a Scoping Review, Interview Study and Podcast Analysis</v>
      </c>
      <c r="D323" s="8" t="s">
        <v>891</v>
      </c>
      <c r="E323" s="8" t="s">
        <v>574</v>
      </c>
      <c r="F323" s="8" t="s">
        <v>53</v>
      </c>
      <c r="G323" s="8" t="s">
        <v>55</v>
      </c>
      <c r="H323" s="8" t="s">
        <v>56</v>
      </c>
      <c r="I323" s="9" t="n">
        <v>0.285714285714286</v>
      </c>
      <c r="J323" s="8" t="s">
        <v>33</v>
      </c>
    </row>
    <row r="324" customFormat="false" ht="15" hidden="false" customHeight="false" outlineLevel="0" collapsed="false">
      <c r="A324" s="8" t="n">
        <v>3055</v>
      </c>
      <c r="B324" s="8" t="n">
        <v>77</v>
      </c>
      <c r="C324" s="8" t="str">
        <f aca="false">IFERROR(INDEX('Project Classifications'!$B$2:$B$231,MATCH(B324,'Project Classifications'!$A$2:$A$231,0)),"")</f>
        <v>Mapping Narratives on Mental Health: Data from a Scoping Review, Interview Study and Podcast Analysis</v>
      </c>
      <c r="D324" s="8" t="s">
        <v>892</v>
      </c>
      <c r="E324" s="8" t="s">
        <v>562</v>
      </c>
      <c r="F324" s="8" t="s">
        <v>42</v>
      </c>
      <c r="G324" s="8" t="s">
        <v>44</v>
      </c>
      <c r="H324" s="8" t="s">
        <v>45</v>
      </c>
      <c r="I324" s="9" t="n">
        <v>0.222222222222222</v>
      </c>
      <c r="J324" s="8" t="s">
        <v>33</v>
      </c>
    </row>
    <row r="325" customFormat="false" ht="15" hidden="false" customHeight="false" outlineLevel="0" collapsed="false">
      <c r="A325" s="8" t="n">
        <v>3056</v>
      </c>
      <c r="B325" s="8" t="n">
        <v>77</v>
      </c>
      <c r="C325" s="8" t="str">
        <f aca="false">IFERROR(INDEX('Project Classifications'!$B$2:$B$231,MATCH(B325,'Project Classifications'!$A$2:$A$231,0)),"")</f>
        <v>Mapping Narratives on Mental Health: Data from a Scoping Review, Interview Study and Podcast Analysis</v>
      </c>
      <c r="D325" s="8" t="s">
        <v>893</v>
      </c>
      <c r="E325" s="8" t="s">
        <v>562</v>
      </c>
      <c r="F325" s="8" t="s">
        <v>42</v>
      </c>
      <c r="G325" s="8" t="s">
        <v>44</v>
      </c>
      <c r="H325" s="8" t="s">
        <v>45</v>
      </c>
      <c r="I325" s="9" t="n">
        <v>0.222222222222222</v>
      </c>
      <c r="J325" s="8" t="s">
        <v>33</v>
      </c>
    </row>
    <row r="326" customFormat="false" ht="15" hidden="false" customHeight="false" outlineLevel="0" collapsed="false">
      <c r="A326" s="8" t="n">
        <v>3058</v>
      </c>
      <c r="B326" s="8" t="n">
        <v>78</v>
      </c>
      <c r="C326" s="8" t="str">
        <f aca="false">IFERROR(INDEX('Project Classifications'!$B$2:$B$231,MATCH(B326,'Project Classifications'!$A$2:$A$231,0)),"")</f>
        <v>Data for: Perceptions of Parental Functions among Married People in Benin</v>
      </c>
      <c r="D326" s="8" t="s">
        <v>894</v>
      </c>
      <c r="E326" s="8" t="s">
        <v>562</v>
      </c>
      <c r="F326" s="8" t="s">
        <v>42</v>
      </c>
      <c r="G326" s="8" t="s">
        <v>44</v>
      </c>
      <c r="H326" s="8" t="s">
        <v>45</v>
      </c>
      <c r="I326" s="9" t="n">
        <v>0.111111111111111</v>
      </c>
      <c r="J326" s="8" t="s">
        <v>33</v>
      </c>
    </row>
    <row r="327" customFormat="false" ht="15" hidden="false" customHeight="false" outlineLevel="0" collapsed="false">
      <c r="A327" s="8" t="n">
        <v>3059</v>
      </c>
      <c r="B327" s="8" t="n">
        <v>78</v>
      </c>
      <c r="C327" s="8" t="str">
        <f aca="false">IFERROR(INDEX('Project Classifications'!$B$2:$B$231,MATCH(B327,'Project Classifications'!$A$2:$A$231,0)),"")</f>
        <v>Data for: Perceptions of Parental Functions among Married People in Benin</v>
      </c>
      <c r="D327" s="8" t="s">
        <v>895</v>
      </c>
      <c r="E327" s="8" t="s">
        <v>562</v>
      </c>
      <c r="F327" s="8" t="s">
        <v>48</v>
      </c>
      <c r="G327" s="8" t="s">
        <v>50</v>
      </c>
      <c r="H327" s="8" t="s">
        <v>49</v>
      </c>
      <c r="I327" s="9" t="n">
        <v>0.0625</v>
      </c>
      <c r="J327" s="8" t="s">
        <v>33</v>
      </c>
    </row>
    <row r="328" customFormat="false" ht="15" hidden="false" customHeight="false" outlineLevel="0" collapsed="false">
      <c r="A328" s="8" t="n">
        <v>3060</v>
      </c>
      <c r="B328" s="8" t="n">
        <v>78</v>
      </c>
      <c r="C328" s="8" t="str">
        <f aca="false">IFERROR(INDEX('Project Classifications'!$B$2:$B$231,MATCH(B328,'Project Classifications'!$A$2:$A$231,0)),"")</f>
        <v>Data for: Perceptions of Parental Functions among Married People in Benin</v>
      </c>
      <c r="D328" s="8" t="s">
        <v>896</v>
      </c>
      <c r="E328" s="8" t="s">
        <v>562</v>
      </c>
      <c r="F328" s="8" t="s">
        <v>48</v>
      </c>
      <c r="G328" s="8" t="s">
        <v>50</v>
      </c>
      <c r="H328" s="8" t="s">
        <v>49</v>
      </c>
      <c r="I328" s="9" t="n">
        <v>0.25</v>
      </c>
      <c r="J328" s="8" t="s">
        <v>33</v>
      </c>
    </row>
    <row r="329" customFormat="false" ht="15" hidden="false" customHeight="false" outlineLevel="0" collapsed="false">
      <c r="A329" s="8" t="n">
        <v>3061</v>
      </c>
      <c r="B329" s="8" t="n">
        <v>78</v>
      </c>
      <c r="C329" s="8" t="str">
        <f aca="false">IFERROR(INDEX('Project Classifications'!$B$2:$B$231,MATCH(B329,'Project Classifications'!$A$2:$A$231,0)),"")</f>
        <v>Data for: Perceptions of Parental Functions among Married People in Benin</v>
      </c>
      <c r="D329" s="8" t="s">
        <v>897</v>
      </c>
      <c r="E329" s="8" t="s">
        <v>574</v>
      </c>
      <c r="F329" s="8" t="s">
        <v>53</v>
      </c>
      <c r="G329" s="8" t="s">
        <v>55</v>
      </c>
      <c r="H329" s="8" t="s">
        <v>56</v>
      </c>
      <c r="I329" s="9" t="n">
        <v>0.285714285714286</v>
      </c>
      <c r="J329" s="8" t="s">
        <v>33</v>
      </c>
    </row>
    <row r="330" customFormat="false" ht="15" hidden="false" customHeight="false" outlineLevel="0" collapsed="false">
      <c r="A330" s="8" t="n">
        <v>3097</v>
      </c>
      <c r="B330" s="8" t="n">
        <v>79</v>
      </c>
      <c r="C330" s="8" t="str">
        <f aca="false">IFERROR(INDEX('Project Classifications'!$B$2:$B$231,MATCH(B330,'Project Classifications'!$A$2:$A$231,0)),"")</f>
        <v>Data for: Forbearance as Redistribution: The Politics of Informal Welfare in Latin America</v>
      </c>
      <c r="D330" s="8" t="s">
        <v>898</v>
      </c>
      <c r="E330" s="8" t="s">
        <v>562</v>
      </c>
      <c r="F330" s="8" t="s">
        <v>271</v>
      </c>
      <c r="G330" s="8" t="s">
        <v>273</v>
      </c>
      <c r="H330" s="8" t="s">
        <v>274</v>
      </c>
      <c r="I330" s="9" t="n">
        <v>0.5</v>
      </c>
      <c r="J330" s="8" t="s">
        <v>33</v>
      </c>
    </row>
    <row r="331" customFormat="false" ht="15" hidden="false" customHeight="false" outlineLevel="0" collapsed="false">
      <c r="A331" s="8" t="n">
        <v>3098</v>
      </c>
      <c r="B331" s="8" t="n">
        <v>79</v>
      </c>
      <c r="C331" s="8" t="str">
        <f aca="false">IFERROR(INDEX('Project Classifications'!$B$2:$B$231,MATCH(B331,'Project Classifications'!$A$2:$A$231,0)),"")</f>
        <v>Data for: Forbearance as Redistribution: The Politics of Informal Welfare in Latin America</v>
      </c>
      <c r="D331" s="8" t="s">
        <v>899</v>
      </c>
      <c r="E331" s="8" t="s">
        <v>562</v>
      </c>
      <c r="F331" s="8" t="s">
        <v>48</v>
      </c>
      <c r="G331" s="8" t="s">
        <v>50</v>
      </c>
      <c r="H331" s="8" t="s">
        <v>49</v>
      </c>
      <c r="I331" s="9" t="n">
        <v>0.0625</v>
      </c>
      <c r="J331" s="8" t="s">
        <v>33</v>
      </c>
    </row>
    <row r="332" customFormat="false" ht="15" hidden="false" customHeight="false" outlineLevel="0" collapsed="false">
      <c r="A332" s="8" t="n">
        <v>3129</v>
      </c>
      <c r="B332" s="8" t="n">
        <v>79</v>
      </c>
      <c r="C332" s="8" t="str">
        <f aca="false">IFERROR(INDEX('Project Classifications'!$B$2:$B$231,MATCH(B332,'Project Classifications'!$A$2:$A$231,0)),"")</f>
        <v>Data for: Forbearance as Redistribution: The Politics of Informal Welfare in Latin America</v>
      </c>
      <c r="D332" s="8" t="s">
        <v>900</v>
      </c>
      <c r="E332" s="8" t="s">
        <v>562</v>
      </c>
      <c r="F332" s="8" t="s">
        <v>48</v>
      </c>
      <c r="G332" s="8" t="s">
        <v>50</v>
      </c>
      <c r="H332" s="8" t="s">
        <v>49</v>
      </c>
      <c r="I332" s="9" t="n">
        <v>0.0625</v>
      </c>
      <c r="J332" s="8" t="s">
        <v>33</v>
      </c>
    </row>
    <row r="333" customFormat="false" ht="15" hidden="false" customHeight="false" outlineLevel="0" collapsed="false">
      <c r="A333" s="8" t="n">
        <v>3130</v>
      </c>
      <c r="B333" s="8" t="n">
        <v>79</v>
      </c>
      <c r="C333" s="8" t="str">
        <f aca="false">IFERROR(INDEX('Project Classifications'!$B$2:$B$231,MATCH(B333,'Project Classifications'!$A$2:$A$231,0)),"")</f>
        <v>Data for: Forbearance as Redistribution: The Politics of Informal Welfare in Latin America</v>
      </c>
      <c r="D333" s="8" t="s">
        <v>901</v>
      </c>
      <c r="E333" s="8" t="s">
        <v>574</v>
      </c>
      <c r="F333" s="8" t="s">
        <v>53</v>
      </c>
      <c r="G333" s="8" t="s">
        <v>55</v>
      </c>
      <c r="H333" s="8" t="s">
        <v>56</v>
      </c>
      <c r="I333" s="9" t="n">
        <v>0.285714285714286</v>
      </c>
      <c r="J333" s="8" t="s">
        <v>33</v>
      </c>
    </row>
    <row r="334" customFormat="false" ht="15" hidden="false" customHeight="false" outlineLevel="0" collapsed="false">
      <c r="A334" s="8" t="n">
        <v>3131</v>
      </c>
      <c r="B334" s="8" t="n">
        <v>80</v>
      </c>
      <c r="C334" s="8" t="str">
        <f aca="false">IFERROR(INDEX('Project Classifications'!$B$2:$B$231,MATCH(B334,'Project Classifications'!$A$2:$A$231,0)),"")</f>
        <v>Data for: Investigating Technology Opportunities Toward Improved Colorado Water Monitoring: Insights from Key Informant Interviews and Stakeholder Surveys</v>
      </c>
      <c r="D334" s="8" t="s">
        <v>902</v>
      </c>
      <c r="E334" s="8" t="s">
        <v>562</v>
      </c>
      <c r="F334" s="8" t="s">
        <v>71</v>
      </c>
      <c r="G334" s="8" t="s">
        <v>903</v>
      </c>
      <c r="H334" s="8" t="s">
        <v>904</v>
      </c>
      <c r="I334" s="9" t="n">
        <v>0.2</v>
      </c>
      <c r="J334" s="8" t="s">
        <v>33</v>
      </c>
    </row>
    <row r="335" customFormat="false" ht="15" hidden="false" customHeight="false" outlineLevel="0" collapsed="false">
      <c r="A335" s="8" t="n">
        <v>3132</v>
      </c>
      <c r="B335" s="8" t="n">
        <v>80</v>
      </c>
      <c r="C335" s="8" t="str">
        <f aca="false">IFERROR(INDEX('Project Classifications'!$B$2:$B$231,MATCH(B335,'Project Classifications'!$A$2:$A$231,0)),"")</f>
        <v>Data for: Investigating Technology Opportunities Toward Improved Colorado Water Monitoring: Insights from Key Informant Interviews and Stakeholder Surveys</v>
      </c>
      <c r="D335" s="8" t="s">
        <v>905</v>
      </c>
      <c r="E335" s="8" t="s">
        <v>600</v>
      </c>
      <c r="F335" s="8" t="s">
        <v>305</v>
      </c>
      <c r="G335" s="8" t="s">
        <v>307</v>
      </c>
      <c r="H335" s="8" t="s">
        <v>306</v>
      </c>
      <c r="I335" s="9" t="n">
        <v>0</v>
      </c>
      <c r="J335" s="8" t="s">
        <v>33</v>
      </c>
    </row>
    <row r="336" customFormat="false" ht="15" hidden="false" customHeight="false" outlineLevel="0" collapsed="false">
      <c r="A336" s="8" t="n">
        <v>3133</v>
      </c>
      <c r="B336" s="8" t="n">
        <v>80</v>
      </c>
      <c r="C336" s="8" t="str">
        <f aca="false">IFERROR(INDEX('Project Classifications'!$B$2:$B$231,MATCH(B336,'Project Classifications'!$A$2:$A$231,0)),"")</f>
        <v>Data for: Investigating Technology Opportunities Toward Improved Colorado Water Monitoring: Insights from Key Informant Interviews and Stakeholder Surveys</v>
      </c>
      <c r="D336" s="8" t="s">
        <v>906</v>
      </c>
      <c r="E336" s="8" t="s">
        <v>600</v>
      </c>
      <c r="F336" s="8" t="s">
        <v>179</v>
      </c>
      <c r="G336" s="8" t="s">
        <v>181</v>
      </c>
      <c r="H336" s="8" t="s">
        <v>182</v>
      </c>
      <c r="I336" s="9" t="n">
        <v>0.166666666666667</v>
      </c>
      <c r="J336" s="8" t="s">
        <v>33</v>
      </c>
    </row>
    <row r="337" customFormat="false" ht="15" hidden="false" customHeight="false" outlineLevel="0" collapsed="false">
      <c r="A337" s="8" t="n">
        <v>3134</v>
      </c>
      <c r="B337" s="8" t="n">
        <v>80</v>
      </c>
      <c r="C337" s="8" t="str">
        <f aca="false">IFERROR(INDEX('Project Classifications'!$B$2:$B$231,MATCH(B337,'Project Classifications'!$A$2:$A$231,0)),"")</f>
        <v>Data for: Investigating Technology Opportunities Toward Improved Colorado Water Monitoring: Insights from Key Informant Interviews and Stakeholder Surveys</v>
      </c>
      <c r="D337" s="8" t="s">
        <v>907</v>
      </c>
      <c r="E337" s="8" t="s">
        <v>600</v>
      </c>
      <c r="F337" s="8" t="s">
        <v>179</v>
      </c>
      <c r="G337" s="8" t="s">
        <v>181</v>
      </c>
      <c r="H337" s="8" t="s">
        <v>182</v>
      </c>
      <c r="I337" s="9" t="n">
        <v>0.166666666666667</v>
      </c>
      <c r="J337" s="8" t="s">
        <v>33</v>
      </c>
    </row>
    <row r="338" customFormat="false" ht="15" hidden="false" customHeight="false" outlineLevel="0" collapsed="false">
      <c r="A338" s="8" t="n">
        <v>3135</v>
      </c>
      <c r="B338" s="8" t="n">
        <v>80</v>
      </c>
      <c r="C338" s="8" t="str">
        <f aca="false">IFERROR(INDEX('Project Classifications'!$B$2:$B$231,MATCH(B338,'Project Classifications'!$A$2:$A$231,0)),"")</f>
        <v>Data for: Investigating Technology Opportunities Toward Improved Colorado Water Monitoring: Insights from Key Informant Interviews and Stakeholder Surveys</v>
      </c>
      <c r="D338" s="8" t="s">
        <v>908</v>
      </c>
      <c r="E338" s="8" t="s">
        <v>600</v>
      </c>
      <c r="F338" s="8" t="s">
        <v>179</v>
      </c>
      <c r="G338" s="8" t="s">
        <v>181</v>
      </c>
      <c r="H338" s="8" t="s">
        <v>182</v>
      </c>
      <c r="I338" s="9" t="n">
        <v>0.166666666666667</v>
      </c>
      <c r="J338" s="8" t="s">
        <v>33</v>
      </c>
    </row>
    <row r="339" customFormat="false" ht="15" hidden="false" customHeight="false" outlineLevel="0" collapsed="false">
      <c r="A339" s="8" t="n">
        <v>3136</v>
      </c>
      <c r="B339" s="8" t="n">
        <v>80</v>
      </c>
      <c r="C339" s="8" t="str">
        <f aca="false">IFERROR(INDEX('Project Classifications'!$B$2:$B$231,MATCH(B339,'Project Classifications'!$A$2:$A$231,0)),"")</f>
        <v>Data for: Investigating Technology Opportunities Toward Improved Colorado Water Monitoring: Insights from Key Informant Interviews and Stakeholder Surveys</v>
      </c>
      <c r="D339" s="8" t="s">
        <v>909</v>
      </c>
      <c r="E339" s="8" t="s">
        <v>600</v>
      </c>
      <c r="F339" s="8" t="s">
        <v>179</v>
      </c>
      <c r="G339" s="8" t="s">
        <v>181</v>
      </c>
      <c r="H339" s="8" t="s">
        <v>182</v>
      </c>
      <c r="I339" s="9" t="n">
        <v>0.166666666666667</v>
      </c>
      <c r="J339" s="8" t="s">
        <v>33</v>
      </c>
    </row>
    <row r="340" customFormat="false" ht="15" hidden="false" customHeight="false" outlineLevel="0" collapsed="false">
      <c r="A340" s="8" t="n">
        <v>3137</v>
      </c>
      <c r="B340" s="8" t="n">
        <v>80</v>
      </c>
      <c r="C340" s="8" t="str">
        <f aca="false">IFERROR(INDEX('Project Classifications'!$B$2:$B$231,MATCH(B340,'Project Classifications'!$A$2:$A$231,0)),"")</f>
        <v>Data for: Investigating Technology Opportunities Toward Improved Colorado Water Monitoring: Insights from Key Informant Interviews and Stakeholder Surveys</v>
      </c>
      <c r="D340" s="8" t="s">
        <v>910</v>
      </c>
      <c r="E340" s="8" t="s">
        <v>562</v>
      </c>
      <c r="F340" s="8" t="s">
        <v>48</v>
      </c>
      <c r="G340" s="8" t="s">
        <v>50</v>
      </c>
      <c r="H340" s="8" t="s">
        <v>49</v>
      </c>
      <c r="I340" s="9" t="n">
        <v>0.0625</v>
      </c>
      <c r="J340" s="8" t="s">
        <v>33</v>
      </c>
    </row>
    <row r="341" customFormat="false" ht="15" hidden="false" customHeight="false" outlineLevel="0" collapsed="false">
      <c r="A341" s="8" t="n">
        <v>3138</v>
      </c>
      <c r="B341" s="8" t="n">
        <v>80</v>
      </c>
      <c r="C341" s="8" t="str">
        <f aca="false">IFERROR(INDEX('Project Classifications'!$B$2:$B$231,MATCH(B341,'Project Classifications'!$A$2:$A$231,0)),"")</f>
        <v>Data for: Investigating Technology Opportunities Toward Improved Colorado Water Monitoring: Insights from Key Informant Interviews and Stakeholder Surveys</v>
      </c>
      <c r="D341" s="8" t="s">
        <v>911</v>
      </c>
      <c r="E341" s="8" t="s">
        <v>600</v>
      </c>
      <c r="F341" s="8" t="s">
        <v>179</v>
      </c>
      <c r="G341" s="8" t="s">
        <v>181</v>
      </c>
      <c r="H341" s="8" t="s">
        <v>182</v>
      </c>
      <c r="I341" s="9" t="n">
        <v>0.166666666666667</v>
      </c>
      <c r="J341" s="8" t="s">
        <v>33</v>
      </c>
    </row>
    <row r="342" customFormat="false" ht="15" hidden="false" customHeight="false" outlineLevel="0" collapsed="false">
      <c r="A342" s="8" t="n">
        <v>3139</v>
      </c>
      <c r="B342" s="8" t="n">
        <v>80</v>
      </c>
      <c r="C342" s="8" t="str">
        <f aca="false">IFERROR(INDEX('Project Classifications'!$B$2:$B$231,MATCH(B342,'Project Classifications'!$A$2:$A$231,0)),"")</f>
        <v>Data for: Investigating Technology Opportunities Toward Improved Colorado Water Monitoring: Insights from Key Informant Interviews and Stakeholder Surveys</v>
      </c>
      <c r="D342" s="8" t="s">
        <v>912</v>
      </c>
      <c r="E342" s="8" t="s">
        <v>562</v>
      </c>
      <c r="F342" s="8" t="s">
        <v>71</v>
      </c>
      <c r="G342" s="8" t="s">
        <v>903</v>
      </c>
      <c r="H342" s="8" t="s">
        <v>904</v>
      </c>
      <c r="I342" s="9" t="n">
        <v>0.2</v>
      </c>
      <c r="J342" s="8" t="s">
        <v>33</v>
      </c>
    </row>
    <row r="343" customFormat="false" ht="15" hidden="false" customHeight="false" outlineLevel="0" collapsed="false">
      <c r="A343" s="8" t="n">
        <v>3140</v>
      </c>
      <c r="B343" s="8" t="n">
        <v>80</v>
      </c>
      <c r="C343" s="8" t="str">
        <f aca="false">IFERROR(INDEX('Project Classifications'!$B$2:$B$231,MATCH(B343,'Project Classifications'!$A$2:$A$231,0)),"")</f>
        <v>Data for: Investigating Technology Opportunities Toward Improved Colorado Water Monitoring: Insights from Key Informant Interviews and Stakeholder Surveys</v>
      </c>
      <c r="D343" s="8" t="s">
        <v>913</v>
      </c>
      <c r="E343" s="8" t="s">
        <v>562</v>
      </c>
      <c r="F343" s="8" t="s">
        <v>179</v>
      </c>
      <c r="G343" s="8" t="s">
        <v>181</v>
      </c>
      <c r="H343" s="8" t="s">
        <v>182</v>
      </c>
      <c r="I343" s="9" t="n">
        <v>0</v>
      </c>
      <c r="J343" s="8" t="s">
        <v>741</v>
      </c>
    </row>
    <row r="344" customFormat="false" ht="15" hidden="false" customHeight="false" outlineLevel="0" collapsed="false">
      <c r="A344" s="8" t="n">
        <v>3141</v>
      </c>
      <c r="B344" s="8" t="n">
        <v>80</v>
      </c>
      <c r="C344" s="8" t="str">
        <f aca="false">IFERROR(INDEX('Project Classifications'!$B$2:$B$231,MATCH(B344,'Project Classifications'!$A$2:$A$231,0)),"")</f>
        <v>Data for: Investigating Technology Opportunities Toward Improved Colorado Water Monitoring: Insights from Key Informant Interviews and Stakeholder Surveys</v>
      </c>
      <c r="D344" s="8" t="s">
        <v>914</v>
      </c>
      <c r="E344" s="8" t="s">
        <v>562</v>
      </c>
      <c r="F344" s="8" t="s">
        <v>179</v>
      </c>
      <c r="G344" s="8" t="s">
        <v>181</v>
      </c>
      <c r="H344" s="8" t="s">
        <v>182</v>
      </c>
      <c r="I344" s="9" t="n">
        <v>0</v>
      </c>
      <c r="J344" s="8" t="s">
        <v>741</v>
      </c>
    </row>
    <row r="345" customFormat="false" ht="15" hidden="false" customHeight="false" outlineLevel="0" collapsed="false">
      <c r="A345" s="8" t="n">
        <v>3142</v>
      </c>
      <c r="B345" s="8" t="n">
        <v>80</v>
      </c>
      <c r="C345" s="8" t="str">
        <f aca="false">IFERROR(INDEX('Project Classifications'!$B$2:$B$231,MATCH(B345,'Project Classifications'!$A$2:$A$231,0)),"")</f>
        <v>Data for: Investigating Technology Opportunities Toward Improved Colorado Water Monitoring: Insights from Key Informant Interviews and Stakeholder Surveys</v>
      </c>
      <c r="D345" s="8" t="s">
        <v>915</v>
      </c>
      <c r="E345" s="8" t="s">
        <v>562</v>
      </c>
      <c r="F345" s="8" t="s">
        <v>179</v>
      </c>
      <c r="G345" s="8" t="s">
        <v>181</v>
      </c>
      <c r="H345" s="8" t="s">
        <v>182</v>
      </c>
      <c r="I345" s="9" t="n">
        <v>0</v>
      </c>
      <c r="J345" s="8" t="s">
        <v>741</v>
      </c>
    </row>
    <row r="346" customFormat="false" ht="15" hidden="false" customHeight="false" outlineLevel="0" collapsed="false">
      <c r="A346" s="8" t="n">
        <v>3143</v>
      </c>
      <c r="B346" s="8" t="n">
        <v>80</v>
      </c>
      <c r="C346" s="8" t="str">
        <f aca="false">IFERROR(INDEX('Project Classifications'!$B$2:$B$231,MATCH(B346,'Project Classifications'!$A$2:$A$231,0)),"")</f>
        <v>Data for: Investigating Technology Opportunities Toward Improved Colorado Water Monitoring: Insights from Key Informant Interviews and Stakeholder Surveys</v>
      </c>
      <c r="D346" s="8" t="s">
        <v>916</v>
      </c>
      <c r="E346" s="8" t="s">
        <v>562</v>
      </c>
      <c r="F346" s="8" t="s">
        <v>179</v>
      </c>
      <c r="G346" s="8" t="s">
        <v>181</v>
      </c>
      <c r="H346" s="8" t="s">
        <v>182</v>
      </c>
      <c r="I346" s="9" t="n">
        <v>0</v>
      </c>
      <c r="J346" s="8" t="s">
        <v>741</v>
      </c>
    </row>
    <row r="347" customFormat="false" ht="15" hidden="false" customHeight="false" outlineLevel="0" collapsed="false">
      <c r="A347" s="8" t="n">
        <v>3144</v>
      </c>
      <c r="B347" s="8" t="n">
        <v>80</v>
      </c>
      <c r="C347" s="8" t="str">
        <f aca="false">IFERROR(INDEX('Project Classifications'!$B$2:$B$231,MATCH(B347,'Project Classifications'!$A$2:$A$231,0)),"")</f>
        <v>Data for: Investigating Technology Opportunities Toward Improved Colorado Water Monitoring: Insights from Key Informant Interviews and Stakeholder Surveys</v>
      </c>
      <c r="D347" s="8" t="s">
        <v>917</v>
      </c>
      <c r="E347" s="8" t="s">
        <v>562</v>
      </c>
      <c r="F347" s="8" t="s">
        <v>179</v>
      </c>
      <c r="G347" s="8" t="s">
        <v>181</v>
      </c>
      <c r="H347" s="8" t="s">
        <v>182</v>
      </c>
      <c r="I347" s="9" t="n">
        <v>0</v>
      </c>
      <c r="J347" s="8" t="s">
        <v>741</v>
      </c>
    </row>
    <row r="348" customFormat="false" ht="15" hidden="false" customHeight="false" outlineLevel="0" collapsed="false">
      <c r="A348" s="8" t="n">
        <v>3145</v>
      </c>
      <c r="B348" s="8" t="n">
        <v>80</v>
      </c>
      <c r="C348" s="8" t="str">
        <f aca="false">IFERROR(INDEX('Project Classifications'!$B$2:$B$231,MATCH(B348,'Project Classifications'!$A$2:$A$231,0)),"")</f>
        <v>Data for: Investigating Technology Opportunities Toward Improved Colorado Water Monitoring: Insights from Key Informant Interviews and Stakeholder Surveys</v>
      </c>
      <c r="D348" s="8" t="s">
        <v>918</v>
      </c>
      <c r="E348" s="8" t="s">
        <v>562</v>
      </c>
      <c r="F348" s="8" t="s">
        <v>179</v>
      </c>
      <c r="G348" s="8" t="s">
        <v>181</v>
      </c>
      <c r="H348" s="8" t="s">
        <v>182</v>
      </c>
      <c r="I348" s="9" t="n">
        <v>0</v>
      </c>
      <c r="J348" s="8" t="s">
        <v>741</v>
      </c>
    </row>
    <row r="349" customFormat="false" ht="15" hidden="false" customHeight="false" outlineLevel="0" collapsed="false">
      <c r="A349" s="8" t="n">
        <v>3146</v>
      </c>
      <c r="B349" s="8" t="n">
        <v>80</v>
      </c>
      <c r="C349" s="8" t="str">
        <f aca="false">IFERROR(INDEX('Project Classifications'!$B$2:$B$231,MATCH(B349,'Project Classifications'!$A$2:$A$231,0)),"")</f>
        <v>Data for: Investigating Technology Opportunities Toward Improved Colorado Water Monitoring: Insights from Key Informant Interviews and Stakeholder Surveys</v>
      </c>
      <c r="D349" s="8" t="s">
        <v>919</v>
      </c>
      <c r="E349" s="8" t="s">
        <v>562</v>
      </c>
      <c r="F349" s="8" t="s">
        <v>179</v>
      </c>
      <c r="G349" s="8" t="s">
        <v>181</v>
      </c>
      <c r="H349" s="8" t="s">
        <v>182</v>
      </c>
      <c r="I349" s="9" t="n">
        <v>0</v>
      </c>
      <c r="J349" s="8" t="s">
        <v>741</v>
      </c>
    </row>
    <row r="350" customFormat="false" ht="15" hidden="false" customHeight="false" outlineLevel="0" collapsed="false">
      <c r="A350" s="8" t="n">
        <v>3147</v>
      </c>
      <c r="B350" s="8" t="n">
        <v>80</v>
      </c>
      <c r="C350" s="8" t="str">
        <f aca="false">IFERROR(INDEX('Project Classifications'!$B$2:$B$231,MATCH(B350,'Project Classifications'!$A$2:$A$231,0)),"")</f>
        <v>Data for: Investigating Technology Opportunities Toward Improved Colorado Water Monitoring: Insights from Key Informant Interviews and Stakeholder Surveys</v>
      </c>
      <c r="D350" s="8" t="s">
        <v>920</v>
      </c>
      <c r="E350" s="8" t="s">
        <v>562</v>
      </c>
      <c r="F350" s="8" t="s">
        <v>179</v>
      </c>
      <c r="G350" s="8" t="s">
        <v>181</v>
      </c>
      <c r="H350" s="8" t="s">
        <v>182</v>
      </c>
      <c r="I350" s="9" t="n">
        <v>0</v>
      </c>
      <c r="J350" s="8" t="s">
        <v>741</v>
      </c>
    </row>
    <row r="351" customFormat="false" ht="15" hidden="false" customHeight="false" outlineLevel="0" collapsed="false">
      <c r="A351" s="8" t="n">
        <v>3148</v>
      </c>
      <c r="B351" s="8" t="n">
        <v>80</v>
      </c>
      <c r="C351" s="8" t="str">
        <f aca="false">IFERROR(INDEX('Project Classifications'!$B$2:$B$231,MATCH(B351,'Project Classifications'!$A$2:$A$231,0)),"")</f>
        <v>Data for: Investigating Technology Opportunities Toward Improved Colorado Water Monitoring: Insights from Key Informant Interviews and Stakeholder Surveys</v>
      </c>
      <c r="D351" s="8" t="s">
        <v>921</v>
      </c>
      <c r="E351" s="8" t="s">
        <v>562</v>
      </c>
      <c r="F351" s="8" t="s">
        <v>179</v>
      </c>
      <c r="G351" s="8" t="s">
        <v>181</v>
      </c>
      <c r="H351" s="8" t="s">
        <v>182</v>
      </c>
      <c r="I351" s="9" t="n">
        <v>0</v>
      </c>
      <c r="J351" s="8" t="s">
        <v>741</v>
      </c>
    </row>
    <row r="352" customFormat="false" ht="15" hidden="false" customHeight="false" outlineLevel="0" collapsed="false">
      <c r="A352" s="8" t="n">
        <v>3149</v>
      </c>
      <c r="B352" s="8" t="n">
        <v>80</v>
      </c>
      <c r="C352" s="8" t="str">
        <f aca="false">IFERROR(INDEX('Project Classifications'!$B$2:$B$231,MATCH(B352,'Project Classifications'!$A$2:$A$231,0)),"")</f>
        <v>Data for: Investigating Technology Opportunities Toward Improved Colorado Water Monitoring: Insights from Key Informant Interviews and Stakeholder Surveys</v>
      </c>
      <c r="D352" s="8" t="s">
        <v>922</v>
      </c>
      <c r="E352" s="8" t="s">
        <v>562</v>
      </c>
      <c r="F352" s="8" t="s">
        <v>179</v>
      </c>
      <c r="G352" s="8" t="s">
        <v>181</v>
      </c>
      <c r="H352" s="8" t="s">
        <v>182</v>
      </c>
      <c r="I352" s="9" t="n">
        <v>0</v>
      </c>
      <c r="J352" s="8" t="s">
        <v>741</v>
      </c>
    </row>
    <row r="353" customFormat="false" ht="15" hidden="false" customHeight="false" outlineLevel="0" collapsed="false">
      <c r="A353" s="8" t="n">
        <v>3150</v>
      </c>
      <c r="B353" s="8" t="n">
        <v>80</v>
      </c>
      <c r="C353" s="8" t="str">
        <f aca="false">IFERROR(INDEX('Project Classifications'!$B$2:$B$231,MATCH(B353,'Project Classifications'!$A$2:$A$231,0)),"")</f>
        <v>Data for: Investigating Technology Opportunities Toward Improved Colorado Water Monitoring: Insights from Key Informant Interviews and Stakeholder Surveys</v>
      </c>
      <c r="D353" s="8" t="s">
        <v>923</v>
      </c>
      <c r="E353" s="8" t="s">
        <v>562</v>
      </c>
      <c r="F353" s="8" t="s">
        <v>305</v>
      </c>
      <c r="G353" s="8" t="s">
        <v>307</v>
      </c>
      <c r="H353" s="8" t="s">
        <v>306</v>
      </c>
      <c r="I353" s="9" t="n">
        <v>0</v>
      </c>
      <c r="J353" s="8" t="s">
        <v>33</v>
      </c>
    </row>
    <row r="354" customFormat="false" ht="15" hidden="false" customHeight="false" outlineLevel="0" collapsed="false">
      <c r="A354" s="8" t="n">
        <v>3151</v>
      </c>
      <c r="B354" s="8" t="n">
        <v>80</v>
      </c>
      <c r="C354" s="8" t="str">
        <f aca="false">IFERROR(INDEX('Project Classifications'!$B$2:$B$231,MATCH(B354,'Project Classifications'!$A$2:$A$231,0)),"")</f>
        <v>Data for: Investigating Technology Opportunities Toward Improved Colorado Water Monitoring: Insights from Key Informant Interviews and Stakeholder Surveys</v>
      </c>
      <c r="D354" s="8" t="s">
        <v>924</v>
      </c>
      <c r="E354" s="8" t="s">
        <v>562</v>
      </c>
      <c r="F354" s="8" t="s">
        <v>179</v>
      </c>
      <c r="G354" s="8" t="s">
        <v>181</v>
      </c>
      <c r="H354" s="8" t="s">
        <v>182</v>
      </c>
      <c r="I354" s="9" t="n">
        <v>0</v>
      </c>
      <c r="J354" s="8" t="s">
        <v>741</v>
      </c>
    </row>
    <row r="355" customFormat="false" ht="15" hidden="false" customHeight="false" outlineLevel="0" collapsed="false">
      <c r="A355" s="8" t="n">
        <v>3152</v>
      </c>
      <c r="B355" s="8" t="n">
        <v>80</v>
      </c>
      <c r="C355" s="8" t="str">
        <f aca="false">IFERROR(INDEX('Project Classifications'!$B$2:$B$231,MATCH(B355,'Project Classifications'!$A$2:$A$231,0)),"")</f>
        <v>Data for: Investigating Technology Opportunities Toward Improved Colorado Water Monitoring: Insights from Key Informant Interviews and Stakeholder Surveys</v>
      </c>
      <c r="D355" s="8" t="s">
        <v>925</v>
      </c>
      <c r="E355" s="8" t="s">
        <v>562</v>
      </c>
      <c r="F355" s="8" t="s">
        <v>179</v>
      </c>
      <c r="G355" s="8" t="s">
        <v>181</v>
      </c>
      <c r="H355" s="8" t="s">
        <v>182</v>
      </c>
      <c r="I355" s="9" t="n">
        <v>0</v>
      </c>
      <c r="J355" s="8" t="s">
        <v>741</v>
      </c>
    </row>
    <row r="356" customFormat="false" ht="15" hidden="false" customHeight="false" outlineLevel="0" collapsed="false">
      <c r="A356" s="8" t="n">
        <v>3153</v>
      </c>
      <c r="B356" s="8" t="n">
        <v>80</v>
      </c>
      <c r="C356" s="8" t="str">
        <f aca="false">IFERROR(INDEX('Project Classifications'!$B$2:$B$231,MATCH(B356,'Project Classifications'!$A$2:$A$231,0)),"")</f>
        <v>Data for: Investigating Technology Opportunities Toward Improved Colorado Water Monitoring: Insights from Key Informant Interviews and Stakeholder Surveys</v>
      </c>
      <c r="D356" s="8" t="s">
        <v>926</v>
      </c>
      <c r="E356" s="8" t="s">
        <v>562</v>
      </c>
      <c r="F356" s="8" t="s">
        <v>179</v>
      </c>
      <c r="G356" s="8" t="s">
        <v>181</v>
      </c>
      <c r="H356" s="8" t="s">
        <v>182</v>
      </c>
      <c r="I356" s="9" t="n">
        <v>0</v>
      </c>
      <c r="J356" s="8" t="s">
        <v>741</v>
      </c>
    </row>
    <row r="357" customFormat="false" ht="15" hidden="false" customHeight="false" outlineLevel="0" collapsed="false">
      <c r="A357" s="8" t="n">
        <v>3154</v>
      </c>
      <c r="B357" s="8" t="n">
        <v>80</v>
      </c>
      <c r="C357" s="8" t="str">
        <f aca="false">IFERROR(INDEX('Project Classifications'!$B$2:$B$231,MATCH(B357,'Project Classifications'!$A$2:$A$231,0)),"")</f>
        <v>Data for: Investigating Technology Opportunities Toward Improved Colorado Water Monitoring: Insights from Key Informant Interviews and Stakeholder Surveys</v>
      </c>
      <c r="D357" s="8" t="s">
        <v>927</v>
      </c>
      <c r="E357" s="8" t="s">
        <v>562</v>
      </c>
      <c r="F357" s="8" t="s">
        <v>179</v>
      </c>
      <c r="G357" s="8" t="s">
        <v>181</v>
      </c>
      <c r="H357" s="8" t="s">
        <v>182</v>
      </c>
      <c r="I357" s="9" t="n">
        <v>0</v>
      </c>
      <c r="J357" s="8" t="s">
        <v>741</v>
      </c>
    </row>
    <row r="358" customFormat="false" ht="15" hidden="false" customHeight="false" outlineLevel="0" collapsed="false">
      <c r="A358" s="8" t="n">
        <v>3155</v>
      </c>
      <c r="B358" s="8" t="n">
        <v>80</v>
      </c>
      <c r="C358" s="8" t="str">
        <f aca="false">IFERROR(INDEX('Project Classifications'!$B$2:$B$231,MATCH(B358,'Project Classifications'!$A$2:$A$231,0)),"")</f>
        <v>Data for: Investigating Technology Opportunities Toward Improved Colorado Water Monitoring: Insights from Key Informant Interviews and Stakeholder Surveys</v>
      </c>
      <c r="D358" s="8" t="s">
        <v>928</v>
      </c>
      <c r="E358" s="8" t="s">
        <v>562</v>
      </c>
      <c r="F358" s="8" t="s">
        <v>179</v>
      </c>
      <c r="G358" s="8" t="s">
        <v>181</v>
      </c>
      <c r="H358" s="8" t="s">
        <v>182</v>
      </c>
      <c r="I358" s="9" t="n">
        <v>0</v>
      </c>
      <c r="J358" s="8" t="s">
        <v>741</v>
      </c>
    </row>
    <row r="359" customFormat="false" ht="15" hidden="false" customHeight="false" outlineLevel="0" collapsed="false">
      <c r="A359" s="8" t="n">
        <v>3156</v>
      </c>
      <c r="B359" s="8" t="n">
        <v>80</v>
      </c>
      <c r="C359" s="8" t="str">
        <f aca="false">IFERROR(INDEX('Project Classifications'!$B$2:$B$231,MATCH(B359,'Project Classifications'!$A$2:$A$231,0)),"")</f>
        <v>Data for: Investigating Technology Opportunities Toward Improved Colorado Water Monitoring: Insights from Key Informant Interviews and Stakeholder Surveys</v>
      </c>
      <c r="D359" s="8" t="s">
        <v>929</v>
      </c>
      <c r="E359" s="8" t="s">
        <v>562</v>
      </c>
      <c r="F359" s="8" t="s">
        <v>179</v>
      </c>
      <c r="G359" s="8" t="s">
        <v>181</v>
      </c>
      <c r="H359" s="8" t="s">
        <v>182</v>
      </c>
      <c r="I359" s="9" t="n">
        <v>0.5</v>
      </c>
      <c r="J359" s="8" t="s">
        <v>33</v>
      </c>
    </row>
    <row r="360" customFormat="false" ht="15" hidden="false" customHeight="false" outlineLevel="0" collapsed="false">
      <c r="A360" s="8" t="n">
        <v>3157</v>
      </c>
      <c r="B360" s="8" t="n">
        <v>80</v>
      </c>
      <c r="C360" s="8" t="str">
        <f aca="false">IFERROR(INDEX('Project Classifications'!$B$2:$B$231,MATCH(B360,'Project Classifications'!$A$2:$A$231,0)),"")</f>
        <v>Data for: Investigating Technology Opportunities Toward Improved Colorado Water Monitoring: Insights from Key Informant Interviews and Stakeholder Surveys</v>
      </c>
      <c r="D360" s="8" t="s">
        <v>930</v>
      </c>
      <c r="E360" s="8" t="s">
        <v>600</v>
      </c>
      <c r="F360" s="8" t="s">
        <v>179</v>
      </c>
      <c r="G360" s="8" t="s">
        <v>181</v>
      </c>
      <c r="H360" s="8" t="s">
        <v>182</v>
      </c>
      <c r="I360" s="9" t="n">
        <v>0.166666666666667</v>
      </c>
      <c r="J360" s="8" t="s">
        <v>33</v>
      </c>
    </row>
    <row r="361" customFormat="false" ht="15" hidden="false" customHeight="false" outlineLevel="0" collapsed="false">
      <c r="A361" s="8" t="n">
        <v>3158</v>
      </c>
      <c r="B361" s="8" t="n">
        <v>80</v>
      </c>
      <c r="C361" s="8" t="str">
        <f aca="false">IFERROR(INDEX('Project Classifications'!$B$2:$B$231,MATCH(B361,'Project Classifications'!$A$2:$A$231,0)),"")</f>
        <v>Data for: Investigating Technology Opportunities Toward Improved Colorado Water Monitoring: Insights from Key Informant Interviews and Stakeholder Surveys</v>
      </c>
      <c r="D361" s="8" t="s">
        <v>931</v>
      </c>
      <c r="E361" s="8" t="s">
        <v>574</v>
      </c>
      <c r="F361" s="8" t="s">
        <v>179</v>
      </c>
      <c r="G361" s="8" t="s">
        <v>181</v>
      </c>
      <c r="H361" s="8" t="s">
        <v>182</v>
      </c>
      <c r="I361" s="9" t="n">
        <v>0.333333333333333</v>
      </c>
      <c r="J361" s="8" t="s">
        <v>33</v>
      </c>
    </row>
    <row r="362" customFormat="false" ht="15" hidden="false" customHeight="false" outlineLevel="0" collapsed="false">
      <c r="A362" s="8" t="n">
        <v>3181</v>
      </c>
      <c r="B362" s="8" t="n">
        <v>81</v>
      </c>
      <c r="C362" s="8" t="str">
        <f aca="false">IFERROR(INDEX('Project Classifications'!$B$2:$B$231,MATCH(B362,'Project Classifications'!$A$2:$A$231,0)),"")</f>
        <v>Data for: China’s Governance Puzzle</v>
      </c>
      <c r="D362" s="8" t="s">
        <v>932</v>
      </c>
      <c r="E362" s="8" t="s">
        <v>574</v>
      </c>
      <c r="F362" s="8" t="s">
        <v>53</v>
      </c>
      <c r="G362" s="8" t="s">
        <v>55</v>
      </c>
      <c r="H362" s="8" t="s">
        <v>56</v>
      </c>
      <c r="I362" s="9" t="n">
        <v>0.285714285714286</v>
      </c>
      <c r="J362" s="8" t="s">
        <v>33</v>
      </c>
    </row>
    <row r="363" customFormat="false" ht="15" hidden="false" customHeight="false" outlineLevel="0" collapsed="false">
      <c r="A363" s="8" t="n">
        <v>3182</v>
      </c>
      <c r="B363" s="8" t="n">
        <v>82</v>
      </c>
      <c r="C363" s="8" t="str">
        <f aca="false">IFERROR(INDEX('Project Classifications'!$B$2:$B$231,MATCH(B363,'Project Classifications'!$A$2:$A$231,0)),"")</f>
        <v>High Performance School-age Athletes at Australian Schools: A Study of Conflicting Demands</v>
      </c>
      <c r="D363" s="8" t="s">
        <v>933</v>
      </c>
      <c r="E363" s="8" t="s">
        <v>934</v>
      </c>
      <c r="F363" s="8" t="s">
        <v>48</v>
      </c>
      <c r="G363" s="8" t="s">
        <v>50</v>
      </c>
      <c r="H363" s="8" t="s">
        <v>49</v>
      </c>
      <c r="I363" s="9" t="n">
        <v>0</v>
      </c>
      <c r="J363" s="8" t="s">
        <v>741</v>
      </c>
    </row>
    <row r="364" customFormat="false" ht="15" hidden="false" customHeight="false" outlineLevel="0" collapsed="false">
      <c r="A364" s="8" t="n">
        <v>3202</v>
      </c>
      <c r="B364" s="8" t="n">
        <v>82</v>
      </c>
      <c r="C364" s="8" t="str">
        <f aca="false">IFERROR(INDEX('Project Classifications'!$B$2:$B$231,MATCH(B364,'Project Classifications'!$A$2:$A$231,0)),"")</f>
        <v>High Performance School-age Athletes at Australian Schools: A Study of Conflicting Demands</v>
      </c>
      <c r="D364" s="8" t="s">
        <v>935</v>
      </c>
      <c r="E364" s="8" t="s">
        <v>562</v>
      </c>
      <c r="F364" s="8" t="s">
        <v>48</v>
      </c>
      <c r="G364" s="8" t="s">
        <v>50</v>
      </c>
      <c r="H364" s="8" t="s">
        <v>49</v>
      </c>
      <c r="I364" s="9" t="n">
        <v>0.375</v>
      </c>
      <c r="J364" s="8" t="s">
        <v>33</v>
      </c>
    </row>
    <row r="365" customFormat="false" ht="15" hidden="false" customHeight="false" outlineLevel="0" collapsed="false">
      <c r="A365" s="8" t="n">
        <v>3204</v>
      </c>
      <c r="B365" s="8" t="n">
        <v>82</v>
      </c>
      <c r="C365" s="8" t="str">
        <f aca="false">IFERROR(INDEX('Project Classifications'!$B$2:$B$231,MATCH(B365,'Project Classifications'!$A$2:$A$231,0)),"")</f>
        <v>High Performance School-age Athletes at Australian Schools: A Study of Conflicting Demands</v>
      </c>
      <c r="D365" s="8" t="s">
        <v>936</v>
      </c>
      <c r="E365" s="8" t="s">
        <v>562</v>
      </c>
      <c r="F365" s="8" t="s">
        <v>48</v>
      </c>
      <c r="G365" s="8" t="s">
        <v>50</v>
      </c>
      <c r="H365" s="8" t="s">
        <v>49</v>
      </c>
      <c r="I365" s="9" t="n">
        <v>0.375</v>
      </c>
      <c r="J365" s="8" t="s">
        <v>33</v>
      </c>
    </row>
    <row r="366" customFormat="false" ht="15" hidden="false" customHeight="false" outlineLevel="0" collapsed="false">
      <c r="A366" s="8" t="n">
        <v>3205</v>
      </c>
      <c r="B366" s="8" t="n">
        <v>82</v>
      </c>
      <c r="C366" s="8" t="str">
        <f aca="false">IFERROR(INDEX('Project Classifications'!$B$2:$B$231,MATCH(B366,'Project Classifications'!$A$2:$A$231,0)),"")</f>
        <v>High Performance School-age Athletes at Australian Schools: A Study of Conflicting Demands</v>
      </c>
      <c r="D366" s="8" t="s">
        <v>937</v>
      </c>
      <c r="E366" s="8" t="s">
        <v>562</v>
      </c>
      <c r="F366" s="8" t="s">
        <v>48</v>
      </c>
      <c r="G366" s="8" t="s">
        <v>50</v>
      </c>
      <c r="H366" s="8" t="s">
        <v>49</v>
      </c>
      <c r="I366" s="9" t="n">
        <v>0.1875</v>
      </c>
      <c r="J366" s="8" t="s">
        <v>33</v>
      </c>
    </row>
    <row r="367" customFormat="false" ht="15" hidden="false" customHeight="false" outlineLevel="0" collapsed="false">
      <c r="A367" s="8" t="n">
        <v>3206</v>
      </c>
      <c r="B367" s="8" t="n">
        <v>82</v>
      </c>
      <c r="C367" s="8" t="str">
        <f aca="false">IFERROR(INDEX('Project Classifications'!$B$2:$B$231,MATCH(B367,'Project Classifications'!$A$2:$A$231,0)),"")</f>
        <v>High Performance School-age Athletes at Australian Schools: A Study of Conflicting Demands</v>
      </c>
      <c r="D367" s="8" t="s">
        <v>938</v>
      </c>
      <c r="E367" s="8" t="s">
        <v>562</v>
      </c>
      <c r="F367" s="8" t="s">
        <v>48</v>
      </c>
      <c r="G367" s="8" t="s">
        <v>50</v>
      </c>
      <c r="H367" s="8" t="s">
        <v>49</v>
      </c>
      <c r="I367" s="9" t="n">
        <v>0.125</v>
      </c>
      <c r="J367" s="8" t="s">
        <v>33</v>
      </c>
    </row>
    <row r="368" customFormat="false" ht="15" hidden="false" customHeight="false" outlineLevel="0" collapsed="false">
      <c r="A368" s="8" t="n">
        <v>3207</v>
      </c>
      <c r="B368" s="8" t="n">
        <v>82</v>
      </c>
      <c r="C368" s="8" t="str">
        <f aca="false">IFERROR(INDEX('Project Classifications'!$B$2:$B$231,MATCH(B368,'Project Classifications'!$A$2:$A$231,0)),"")</f>
        <v>High Performance School-age Athletes at Australian Schools: A Study of Conflicting Demands</v>
      </c>
      <c r="D368" s="8" t="s">
        <v>939</v>
      </c>
      <c r="E368" s="8" t="s">
        <v>562</v>
      </c>
      <c r="F368" s="8" t="s">
        <v>48</v>
      </c>
      <c r="G368" s="8" t="s">
        <v>50</v>
      </c>
      <c r="H368" s="8" t="s">
        <v>49</v>
      </c>
      <c r="I368" s="9" t="n">
        <v>0.0625</v>
      </c>
      <c r="J368" s="8" t="s">
        <v>33</v>
      </c>
    </row>
    <row r="369" customFormat="false" ht="15" hidden="false" customHeight="false" outlineLevel="0" collapsed="false">
      <c r="A369" s="8" t="n">
        <v>3208</v>
      </c>
      <c r="B369" s="8" t="n">
        <v>82</v>
      </c>
      <c r="C369" s="8" t="str">
        <f aca="false">IFERROR(INDEX('Project Classifications'!$B$2:$B$231,MATCH(B369,'Project Classifications'!$A$2:$A$231,0)),"")</f>
        <v>High Performance School-age Athletes at Australian Schools: A Study of Conflicting Demands</v>
      </c>
      <c r="D369" s="8" t="s">
        <v>940</v>
      </c>
      <c r="E369" s="8" t="s">
        <v>562</v>
      </c>
      <c r="F369" s="8" t="s">
        <v>48</v>
      </c>
      <c r="G369" s="8" t="s">
        <v>50</v>
      </c>
      <c r="H369" s="8" t="s">
        <v>49</v>
      </c>
      <c r="I369" s="9" t="n">
        <v>0.125</v>
      </c>
      <c r="J369" s="8" t="s">
        <v>33</v>
      </c>
    </row>
    <row r="370" customFormat="false" ht="15" hidden="false" customHeight="false" outlineLevel="0" collapsed="false">
      <c r="A370" s="8" t="n">
        <v>3209</v>
      </c>
      <c r="B370" s="8" t="n">
        <v>82</v>
      </c>
      <c r="C370" s="8" t="str">
        <f aca="false">IFERROR(INDEX('Project Classifications'!$B$2:$B$231,MATCH(B370,'Project Classifications'!$A$2:$A$231,0)),"")</f>
        <v>High Performance School-age Athletes at Australian Schools: A Study of Conflicting Demands</v>
      </c>
      <c r="D370" s="8" t="s">
        <v>941</v>
      </c>
      <c r="E370" s="8" t="s">
        <v>562</v>
      </c>
      <c r="F370" s="8" t="s">
        <v>48</v>
      </c>
      <c r="G370" s="8" t="s">
        <v>50</v>
      </c>
      <c r="H370" s="8" t="s">
        <v>49</v>
      </c>
      <c r="I370" s="9" t="n">
        <v>0.125</v>
      </c>
      <c r="J370" s="8" t="s">
        <v>33</v>
      </c>
    </row>
    <row r="371" customFormat="false" ht="15" hidden="false" customHeight="false" outlineLevel="0" collapsed="false">
      <c r="A371" s="8" t="n">
        <v>3210</v>
      </c>
      <c r="B371" s="8" t="n">
        <v>82</v>
      </c>
      <c r="C371" s="8" t="str">
        <f aca="false">IFERROR(INDEX('Project Classifications'!$B$2:$B$231,MATCH(B371,'Project Classifications'!$A$2:$A$231,0)),"")</f>
        <v>High Performance School-age Athletes at Australian Schools: A Study of Conflicting Demands</v>
      </c>
      <c r="D371" s="8" t="s">
        <v>942</v>
      </c>
      <c r="E371" s="8" t="s">
        <v>562</v>
      </c>
      <c r="F371" s="8" t="s">
        <v>48</v>
      </c>
      <c r="G371" s="8" t="s">
        <v>50</v>
      </c>
      <c r="H371" s="8" t="s">
        <v>49</v>
      </c>
      <c r="I371" s="9" t="n">
        <v>0.25</v>
      </c>
      <c r="J371" s="8" t="s">
        <v>33</v>
      </c>
    </row>
    <row r="372" customFormat="false" ht="15" hidden="false" customHeight="false" outlineLevel="0" collapsed="false">
      <c r="A372" s="8" t="n">
        <v>3211</v>
      </c>
      <c r="B372" s="8" t="n">
        <v>82</v>
      </c>
      <c r="C372" s="8" t="str">
        <f aca="false">IFERROR(INDEX('Project Classifications'!$B$2:$B$231,MATCH(B372,'Project Classifications'!$A$2:$A$231,0)),"")</f>
        <v>High Performance School-age Athletes at Australian Schools: A Study of Conflicting Demands</v>
      </c>
      <c r="D372" s="8" t="s">
        <v>943</v>
      </c>
      <c r="E372" s="8" t="s">
        <v>562</v>
      </c>
      <c r="F372" s="8" t="s">
        <v>48</v>
      </c>
      <c r="G372" s="8" t="s">
        <v>50</v>
      </c>
      <c r="H372" s="8" t="s">
        <v>49</v>
      </c>
      <c r="I372" s="9" t="n">
        <v>0.125</v>
      </c>
      <c r="J372" s="8" t="s">
        <v>33</v>
      </c>
    </row>
    <row r="373" customFormat="false" ht="15" hidden="false" customHeight="false" outlineLevel="0" collapsed="false">
      <c r="A373" s="8" t="n">
        <v>3212</v>
      </c>
      <c r="B373" s="8" t="n">
        <v>82</v>
      </c>
      <c r="C373" s="8" t="str">
        <f aca="false">IFERROR(INDEX('Project Classifications'!$B$2:$B$231,MATCH(B373,'Project Classifications'!$A$2:$A$231,0)),"")</f>
        <v>High Performance School-age Athletes at Australian Schools: A Study of Conflicting Demands</v>
      </c>
      <c r="D373" s="8" t="s">
        <v>944</v>
      </c>
      <c r="E373" s="8" t="s">
        <v>562</v>
      </c>
      <c r="F373" s="8" t="s">
        <v>48</v>
      </c>
      <c r="G373" s="8" t="s">
        <v>50</v>
      </c>
      <c r="H373" s="8" t="s">
        <v>49</v>
      </c>
      <c r="I373" s="9" t="n">
        <v>0.0625</v>
      </c>
      <c r="J373" s="8" t="s">
        <v>33</v>
      </c>
    </row>
    <row r="374" customFormat="false" ht="15" hidden="false" customHeight="false" outlineLevel="0" collapsed="false">
      <c r="A374" s="8" t="n">
        <v>3220</v>
      </c>
      <c r="B374" s="8" t="n">
        <v>82</v>
      </c>
      <c r="C374" s="8" t="str">
        <f aca="false">IFERROR(INDEX('Project Classifications'!$B$2:$B$231,MATCH(B374,'Project Classifications'!$A$2:$A$231,0)),"")</f>
        <v>High Performance School-age Athletes at Australian Schools: A Study of Conflicting Demands</v>
      </c>
      <c r="D374" s="8" t="s">
        <v>945</v>
      </c>
      <c r="E374" s="8" t="s">
        <v>562</v>
      </c>
      <c r="F374" s="8" t="s">
        <v>48</v>
      </c>
      <c r="G374" s="8" t="s">
        <v>50</v>
      </c>
      <c r="H374" s="8" t="s">
        <v>49</v>
      </c>
      <c r="I374" s="9" t="n">
        <v>0.0625</v>
      </c>
      <c r="J374" s="8" t="s">
        <v>33</v>
      </c>
    </row>
    <row r="375" customFormat="false" ht="15" hidden="false" customHeight="false" outlineLevel="0" collapsed="false">
      <c r="A375" s="8" t="n">
        <v>3221</v>
      </c>
      <c r="B375" s="8" t="n">
        <v>82</v>
      </c>
      <c r="C375" s="8" t="str">
        <f aca="false">IFERROR(INDEX('Project Classifications'!$B$2:$B$231,MATCH(B375,'Project Classifications'!$A$2:$A$231,0)),"")</f>
        <v>High Performance School-age Athletes at Australian Schools: A Study of Conflicting Demands</v>
      </c>
      <c r="D375" s="8" t="s">
        <v>946</v>
      </c>
      <c r="E375" s="8" t="s">
        <v>562</v>
      </c>
      <c r="F375" s="8" t="s">
        <v>48</v>
      </c>
      <c r="G375" s="8" t="s">
        <v>50</v>
      </c>
      <c r="H375" s="8" t="s">
        <v>49</v>
      </c>
      <c r="I375" s="9" t="n">
        <v>0.125</v>
      </c>
      <c r="J375" s="8" t="s">
        <v>33</v>
      </c>
    </row>
    <row r="376" customFormat="false" ht="15" hidden="false" customHeight="false" outlineLevel="0" collapsed="false">
      <c r="A376" s="8" t="n">
        <v>3222</v>
      </c>
      <c r="B376" s="8" t="n">
        <v>82</v>
      </c>
      <c r="C376" s="8" t="str">
        <f aca="false">IFERROR(INDEX('Project Classifications'!$B$2:$B$231,MATCH(B376,'Project Classifications'!$A$2:$A$231,0)),"")</f>
        <v>High Performance School-age Athletes at Australian Schools: A Study of Conflicting Demands</v>
      </c>
      <c r="D376" s="8" t="s">
        <v>947</v>
      </c>
      <c r="E376" s="8" t="s">
        <v>562</v>
      </c>
      <c r="F376" s="8" t="s">
        <v>48</v>
      </c>
      <c r="G376" s="8" t="s">
        <v>50</v>
      </c>
      <c r="H376" s="8" t="s">
        <v>49</v>
      </c>
      <c r="I376" s="9" t="n">
        <v>0.1875</v>
      </c>
      <c r="J376" s="8" t="s">
        <v>33</v>
      </c>
    </row>
    <row r="377" customFormat="false" ht="15" hidden="false" customHeight="false" outlineLevel="0" collapsed="false">
      <c r="A377" s="8" t="n">
        <v>3223</v>
      </c>
      <c r="B377" s="8" t="n">
        <v>82</v>
      </c>
      <c r="C377" s="8" t="str">
        <f aca="false">IFERROR(INDEX('Project Classifications'!$B$2:$B$231,MATCH(B377,'Project Classifications'!$A$2:$A$231,0)),"")</f>
        <v>High Performance School-age Athletes at Australian Schools: A Study of Conflicting Demands</v>
      </c>
      <c r="D377" s="8" t="s">
        <v>948</v>
      </c>
      <c r="E377" s="8" t="s">
        <v>562</v>
      </c>
      <c r="F377" s="8" t="s">
        <v>48</v>
      </c>
      <c r="G377" s="8" t="s">
        <v>50</v>
      </c>
      <c r="H377" s="8" t="s">
        <v>49</v>
      </c>
      <c r="I377" s="9" t="n">
        <v>0.3125</v>
      </c>
      <c r="J377" s="8" t="s">
        <v>33</v>
      </c>
    </row>
    <row r="378" customFormat="false" ht="15" hidden="false" customHeight="false" outlineLevel="0" collapsed="false">
      <c r="A378" s="8" t="n">
        <v>3237</v>
      </c>
      <c r="B378" s="8" t="n">
        <v>82</v>
      </c>
      <c r="C378" s="8" t="str">
        <f aca="false">IFERROR(INDEX('Project Classifications'!$B$2:$B$231,MATCH(B378,'Project Classifications'!$A$2:$A$231,0)),"")</f>
        <v>High Performance School-age Athletes at Australian Schools: A Study of Conflicting Demands</v>
      </c>
      <c r="D378" s="8" t="s">
        <v>949</v>
      </c>
      <c r="E378" s="8" t="s">
        <v>574</v>
      </c>
      <c r="F378" s="8" t="s">
        <v>53</v>
      </c>
      <c r="G378" s="8" t="s">
        <v>55</v>
      </c>
      <c r="H378" s="8" t="s">
        <v>56</v>
      </c>
      <c r="I378" s="9" t="n">
        <v>0.285714285714286</v>
      </c>
      <c r="J378" s="8" t="s">
        <v>33</v>
      </c>
    </row>
    <row r="379" customFormat="false" ht="15" hidden="false" customHeight="false" outlineLevel="0" collapsed="false">
      <c r="A379" s="8" t="n">
        <v>3289</v>
      </c>
      <c r="B379" s="8" t="n">
        <v>84</v>
      </c>
      <c r="C379" s="8" t="str">
        <f aca="false">IFERROR(INDEX('Project Classifications'!$B$2:$B$231,MATCH(B379,'Project Classifications'!$A$2:$A$231,0)),"")</f>
        <v>The rise of ethnic politics in Latin America</v>
      </c>
      <c r="D379" s="8" t="s">
        <v>950</v>
      </c>
      <c r="E379" s="8" t="s">
        <v>562</v>
      </c>
      <c r="F379" s="8" t="s">
        <v>48</v>
      </c>
      <c r="G379" s="8" t="s">
        <v>50</v>
      </c>
      <c r="H379" s="8" t="s">
        <v>49</v>
      </c>
      <c r="I379" s="9" t="n">
        <v>0.0625</v>
      </c>
      <c r="J379" s="8" t="s">
        <v>33</v>
      </c>
    </row>
    <row r="380" customFormat="false" ht="15" hidden="false" customHeight="false" outlineLevel="0" collapsed="false">
      <c r="A380" s="8" t="n">
        <v>3306</v>
      </c>
      <c r="B380" s="8" t="n">
        <v>84</v>
      </c>
      <c r="C380" s="8" t="str">
        <f aca="false">IFERROR(INDEX('Project Classifications'!$B$2:$B$231,MATCH(B380,'Project Classifications'!$A$2:$A$231,0)),"")</f>
        <v>The rise of ethnic politics in Latin America</v>
      </c>
      <c r="D380" s="8" t="s">
        <v>951</v>
      </c>
      <c r="E380" s="8" t="s">
        <v>562</v>
      </c>
      <c r="F380" s="8" t="s">
        <v>48</v>
      </c>
      <c r="G380" s="8" t="s">
        <v>50</v>
      </c>
      <c r="H380" s="8" t="s">
        <v>49</v>
      </c>
      <c r="I380" s="9" t="n">
        <v>0.0625</v>
      </c>
      <c r="J380" s="8" t="s">
        <v>33</v>
      </c>
    </row>
    <row r="381" customFormat="false" ht="15" hidden="false" customHeight="false" outlineLevel="0" collapsed="false">
      <c r="A381" s="8" t="n">
        <v>3307</v>
      </c>
      <c r="B381" s="8" t="n">
        <v>84</v>
      </c>
      <c r="C381" s="8" t="str">
        <f aca="false">IFERROR(INDEX('Project Classifications'!$B$2:$B$231,MATCH(B381,'Project Classifications'!$A$2:$A$231,0)),"")</f>
        <v>The rise of ethnic politics in Latin America</v>
      </c>
      <c r="D381" s="8" t="s">
        <v>952</v>
      </c>
      <c r="E381" s="8" t="s">
        <v>562</v>
      </c>
      <c r="F381" s="8" t="s">
        <v>305</v>
      </c>
      <c r="G381" s="8" t="s">
        <v>307</v>
      </c>
      <c r="H381" s="8" t="s">
        <v>306</v>
      </c>
      <c r="I381" s="9" t="n">
        <v>0</v>
      </c>
      <c r="J381" s="8" t="s">
        <v>33</v>
      </c>
    </row>
    <row r="382" customFormat="false" ht="15" hidden="false" customHeight="false" outlineLevel="0" collapsed="false">
      <c r="A382" s="8" t="n">
        <v>3319</v>
      </c>
      <c r="B382" s="8" t="n">
        <v>84</v>
      </c>
      <c r="C382" s="8" t="str">
        <f aca="false">IFERROR(INDEX('Project Classifications'!$B$2:$B$231,MATCH(B382,'Project Classifications'!$A$2:$A$231,0)),"")</f>
        <v>The rise of ethnic politics in Latin America</v>
      </c>
      <c r="D382" s="8" t="s">
        <v>953</v>
      </c>
      <c r="E382" s="8" t="s">
        <v>574</v>
      </c>
      <c r="F382" s="8" t="s">
        <v>53</v>
      </c>
      <c r="G382" s="8" t="s">
        <v>55</v>
      </c>
      <c r="H382" s="8" t="s">
        <v>56</v>
      </c>
      <c r="I382" s="9" t="n">
        <v>0.142857142857143</v>
      </c>
      <c r="J382" s="8" t="s">
        <v>33</v>
      </c>
    </row>
    <row r="383" customFormat="false" ht="15" hidden="false" customHeight="false" outlineLevel="0" collapsed="false">
      <c r="A383" s="8" t="n">
        <v>3321</v>
      </c>
      <c r="B383" s="8" t="n">
        <v>85</v>
      </c>
      <c r="C383" s="8" t="str">
        <f aca="false">IFERROR(INDEX('Project Classifications'!$B$2:$B$231,MATCH(B383,'Project Classifications'!$A$2:$A$231,0)),"")</f>
        <v>Data for "How do Search Systems Impact Systematic Searching? A Qualitative Study"</v>
      </c>
      <c r="D383" s="8" t="s">
        <v>954</v>
      </c>
      <c r="E383" s="8" t="s">
        <v>955</v>
      </c>
      <c r="F383" s="8" t="s">
        <v>71</v>
      </c>
      <c r="G383" s="8" t="s">
        <v>956</v>
      </c>
      <c r="H383" s="8" t="s">
        <v>957</v>
      </c>
      <c r="I383" s="9" t="n">
        <v>0.333333333333333</v>
      </c>
      <c r="J383" s="8" t="s">
        <v>33</v>
      </c>
    </row>
    <row r="384" customFormat="false" ht="15" hidden="false" customHeight="false" outlineLevel="0" collapsed="false">
      <c r="A384" s="8" t="n">
        <v>3322</v>
      </c>
      <c r="B384" s="8" t="n">
        <v>85</v>
      </c>
      <c r="C384" s="8" t="str">
        <f aca="false">IFERROR(INDEX('Project Classifications'!$B$2:$B$231,MATCH(B384,'Project Classifications'!$A$2:$A$231,0)),"")</f>
        <v>Data for "How do Search Systems Impact Systematic Searching? A Qualitative Study"</v>
      </c>
      <c r="D384" s="8" t="s">
        <v>958</v>
      </c>
      <c r="E384" s="8" t="s">
        <v>562</v>
      </c>
      <c r="F384" s="8" t="s">
        <v>42</v>
      </c>
      <c r="G384" s="8" t="s">
        <v>44</v>
      </c>
      <c r="H384" s="8" t="s">
        <v>45</v>
      </c>
      <c r="I384" s="9" t="n">
        <v>0.166666666666667</v>
      </c>
      <c r="J384" s="8" t="s">
        <v>33</v>
      </c>
    </row>
    <row r="385" customFormat="false" ht="15" hidden="false" customHeight="false" outlineLevel="0" collapsed="false">
      <c r="A385" s="8" t="n">
        <v>3323</v>
      </c>
      <c r="B385" s="8" t="n">
        <v>85</v>
      </c>
      <c r="C385" s="8" t="str">
        <f aca="false">IFERROR(INDEX('Project Classifications'!$B$2:$B$231,MATCH(B385,'Project Classifications'!$A$2:$A$231,0)),"")</f>
        <v>Data for "How do Search Systems Impact Systematic Searching? A Qualitative Study"</v>
      </c>
      <c r="D385" s="8" t="s">
        <v>959</v>
      </c>
      <c r="E385" s="8" t="s">
        <v>562</v>
      </c>
      <c r="F385" s="8" t="s">
        <v>97</v>
      </c>
      <c r="G385" s="8" t="s">
        <v>99</v>
      </c>
      <c r="H385" s="8" t="s">
        <v>100</v>
      </c>
      <c r="I385" s="9" t="n">
        <v>0.142857142857143</v>
      </c>
      <c r="J385" s="8" t="s">
        <v>33</v>
      </c>
    </row>
    <row r="386" customFormat="false" ht="15" hidden="false" customHeight="false" outlineLevel="0" collapsed="false">
      <c r="A386" s="8" t="n">
        <v>3336</v>
      </c>
      <c r="B386" s="8" t="n">
        <v>85</v>
      </c>
      <c r="C386" s="8" t="str">
        <f aca="false">IFERROR(INDEX('Project Classifications'!$B$2:$B$231,MATCH(B386,'Project Classifications'!$A$2:$A$231,0)),"")</f>
        <v>Data for "How do Search Systems Impact Systematic Searching? A Qualitative Study"</v>
      </c>
      <c r="D386" s="8" t="s">
        <v>960</v>
      </c>
      <c r="E386" s="8" t="s">
        <v>562</v>
      </c>
      <c r="F386" s="8" t="s">
        <v>42</v>
      </c>
      <c r="G386" s="8" t="s">
        <v>44</v>
      </c>
      <c r="H386" s="8" t="s">
        <v>45</v>
      </c>
      <c r="I386" s="9" t="n">
        <v>0.166666666666667</v>
      </c>
      <c r="J386" s="8" t="s">
        <v>33</v>
      </c>
    </row>
    <row r="387" customFormat="false" ht="15" hidden="false" customHeight="false" outlineLevel="0" collapsed="false">
      <c r="A387" s="8" t="n">
        <v>3338</v>
      </c>
      <c r="B387" s="8" t="n">
        <v>85</v>
      </c>
      <c r="C387" s="8" t="str">
        <f aca="false">IFERROR(INDEX('Project Classifications'!$B$2:$B$231,MATCH(B387,'Project Classifications'!$A$2:$A$231,0)),"")</f>
        <v>Data for "How do Search Systems Impact Systematic Searching? A Qualitative Study"</v>
      </c>
      <c r="D387" s="8" t="s">
        <v>961</v>
      </c>
      <c r="E387" s="8" t="s">
        <v>562</v>
      </c>
      <c r="F387" s="8" t="s">
        <v>42</v>
      </c>
      <c r="G387" s="8" t="s">
        <v>44</v>
      </c>
      <c r="H387" s="8" t="s">
        <v>45</v>
      </c>
      <c r="I387" s="9" t="n">
        <v>0.111111111111111</v>
      </c>
      <c r="J387" s="8" t="s">
        <v>33</v>
      </c>
    </row>
    <row r="388" customFormat="false" ht="15" hidden="false" customHeight="false" outlineLevel="0" collapsed="false">
      <c r="A388" s="8" t="n">
        <v>3339</v>
      </c>
      <c r="B388" s="8" t="n">
        <v>85</v>
      </c>
      <c r="C388" s="8" t="str">
        <f aca="false">IFERROR(INDEX('Project Classifications'!$B$2:$B$231,MATCH(B388,'Project Classifications'!$A$2:$A$231,0)),"")</f>
        <v>Data for "How do Search Systems Impact Systematic Searching? A Qualitative Study"</v>
      </c>
      <c r="D388" s="8" t="s">
        <v>962</v>
      </c>
      <c r="E388" s="8" t="s">
        <v>562</v>
      </c>
      <c r="F388" s="8" t="s">
        <v>42</v>
      </c>
      <c r="G388" s="8" t="s">
        <v>44</v>
      </c>
      <c r="H388" s="8" t="s">
        <v>45</v>
      </c>
      <c r="I388" s="9" t="n">
        <v>0.277777777777778</v>
      </c>
      <c r="J388" s="8" t="s">
        <v>33</v>
      </c>
    </row>
    <row r="389" customFormat="false" ht="15" hidden="false" customHeight="false" outlineLevel="0" collapsed="false">
      <c r="A389" s="8" t="n">
        <v>3340</v>
      </c>
      <c r="B389" s="8" t="n">
        <v>85</v>
      </c>
      <c r="C389" s="8" t="str">
        <f aca="false">IFERROR(INDEX('Project Classifications'!$B$2:$B$231,MATCH(B389,'Project Classifications'!$A$2:$A$231,0)),"")</f>
        <v>Data for "How do Search Systems Impact Systematic Searching? A Qualitative Study"</v>
      </c>
      <c r="D389" s="8" t="s">
        <v>963</v>
      </c>
      <c r="E389" s="8" t="s">
        <v>574</v>
      </c>
      <c r="F389" s="8" t="s">
        <v>53</v>
      </c>
      <c r="G389" s="8" t="s">
        <v>55</v>
      </c>
      <c r="H389" s="8" t="s">
        <v>56</v>
      </c>
      <c r="I389" s="9" t="n">
        <v>0.285714285714286</v>
      </c>
      <c r="J389" s="8" t="s">
        <v>33</v>
      </c>
    </row>
    <row r="390" customFormat="false" ht="15" hidden="false" customHeight="false" outlineLevel="0" collapsed="false">
      <c r="A390" s="8" t="n">
        <v>3343</v>
      </c>
      <c r="B390" s="8" t="n">
        <v>86</v>
      </c>
      <c r="C390" s="8" t="str">
        <f aca="false">IFERROR(INDEX('Project Classifications'!$B$2:$B$231,MATCH(B390,'Project Classifications'!$A$2:$A$231,0)),"")</f>
        <v>Data for: "Blame Avoidance and Policy Stability in Developing Democracies: The Politics of Public Security in Buenos Aires"</v>
      </c>
      <c r="D390" s="8" t="s">
        <v>964</v>
      </c>
      <c r="E390" s="8" t="s">
        <v>562</v>
      </c>
      <c r="F390" s="8" t="s">
        <v>305</v>
      </c>
      <c r="G390" s="8" t="s">
        <v>307</v>
      </c>
      <c r="H390" s="8" t="s">
        <v>306</v>
      </c>
      <c r="I390" s="9" t="n">
        <v>0</v>
      </c>
      <c r="J390" s="8" t="s">
        <v>33</v>
      </c>
    </row>
    <row r="391" customFormat="false" ht="15" hidden="false" customHeight="false" outlineLevel="0" collapsed="false">
      <c r="A391" s="8" t="n">
        <v>3344</v>
      </c>
      <c r="B391" s="8" t="n">
        <v>86</v>
      </c>
      <c r="C391" s="8" t="str">
        <f aca="false">IFERROR(INDEX('Project Classifications'!$B$2:$B$231,MATCH(B391,'Project Classifications'!$A$2:$A$231,0)),"")</f>
        <v>Data for: "Blame Avoidance and Policy Stability in Developing Democracies: The Politics of Public Security in Buenos Aires"</v>
      </c>
      <c r="D391" s="8" t="s">
        <v>965</v>
      </c>
      <c r="E391" s="8" t="s">
        <v>562</v>
      </c>
      <c r="F391" s="8" t="s">
        <v>48</v>
      </c>
      <c r="G391" s="8" t="s">
        <v>50</v>
      </c>
      <c r="H391" s="8" t="s">
        <v>49</v>
      </c>
      <c r="I391" s="9" t="n">
        <v>0.1875</v>
      </c>
      <c r="J391" s="8" t="s">
        <v>33</v>
      </c>
    </row>
    <row r="392" customFormat="false" ht="15" hidden="false" customHeight="false" outlineLevel="0" collapsed="false">
      <c r="A392" s="8" t="n">
        <v>3345</v>
      </c>
      <c r="B392" s="8" t="n">
        <v>86</v>
      </c>
      <c r="C392" s="8" t="str">
        <f aca="false">IFERROR(INDEX('Project Classifications'!$B$2:$B$231,MATCH(B392,'Project Classifications'!$A$2:$A$231,0)),"")</f>
        <v>Data for: "Blame Avoidance and Policy Stability in Developing Democracies: The Politics of Public Security in Buenos Aires"</v>
      </c>
      <c r="D392" s="8" t="s">
        <v>966</v>
      </c>
      <c r="E392" s="8" t="s">
        <v>562</v>
      </c>
      <c r="F392" s="8" t="s">
        <v>48</v>
      </c>
      <c r="G392" s="8" t="s">
        <v>50</v>
      </c>
      <c r="H392" s="8" t="s">
        <v>49</v>
      </c>
      <c r="I392" s="9" t="n">
        <v>0.1875</v>
      </c>
      <c r="J392" s="8" t="s">
        <v>33</v>
      </c>
    </row>
    <row r="393" customFormat="false" ht="15" hidden="false" customHeight="false" outlineLevel="0" collapsed="false">
      <c r="A393" s="8" t="n">
        <v>3350</v>
      </c>
      <c r="B393" s="8" t="n">
        <v>86</v>
      </c>
      <c r="C393" s="8" t="str">
        <f aca="false">IFERROR(INDEX('Project Classifications'!$B$2:$B$231,MATCH(B393,'Project Classifications'!$A$2:$A$231,0)),"")</f>
        <v>Data for: "Blame Avoidance and Policy Stability in Developing Democracies: The Politics of Public Security in Buenos Aires"</v>
      </c>
      <c r="D393" s="8" t="s">
        <v>967</v>
      </c>
      <c r="E393" s="8" t="s">
        <v>562</v>
      </c>
      <c r="F393" s="8" t="s">
        <v>48</v>
      </c>
      <c r="G393" s="8" t="s">
        <v>50</v>
      </c>
      <c r="H393" s="8" t="s">
        <v>49</v>
      </c>
      <c r="I393" s="9" t="n">
        <v>0.0625</v>
      </c>
      <c r="J393" s="8" t="s">
        <v>33</v>
      </c>
    </row>
    <row r="394" customFormat="false" ht="15" hidden="false" customHeight="false" outlineLevel="0" collapsed="false">
      <c r="A394" s="8" t="n">
        <v>3351</v>
      </c>
      <c r="B394" s="8" t="n">
        <v>86</v>
      </c>
      <c r="C394" s="8" t="str">
        <f aca="false">IFERROR(INDEX('Project Classifications'!$B$2:$B$231,MATCH(B394,'Project Classifications'!$A$2:$A$231,0)),"")</f>
        <v>Data for: "Blame Avoidance and Policy Stability in Developing Democracies: The Politics of Public Security in Buenos Aires"</v>
      </c>
      <c r="D394" s="8" t="s">
        <v>968</v>
      </c>
      <c r="E394" s="8" t="s">
        <v>562</v>
      </c>
      <c r="F394" s="8" t="s">
        <v>71</v>
      </c>
      <c r="G394" s="8" t="s">
        <v>83</v>
      </c>
      <c r="H394" s="8" t="s">
        <v>84</v>
      </c>
      <c r="I394" s="9" t="n">
        <v>0.25</v>
      </c>
      <c r="J394" s="8" t="s">
        <v>33</v>
      </c>
    </row>
    <row r="395" customFormat="false" ht="15" hidden="false" customHeight="false" outlineLevel="0" collapsed="false">
      <c r="A395" s="8" t="n">
        <v>3353</v>
      </c>
      <c r="B395" s="8" t="n">
        <v>86</v>
      </c>
      <c r="C395" s="8" t="str">
        <f aca="false">IFERROR(INDEX('Project Classifications'!$B$2:$B$231,MATCH(B395,'Project Classifications'!$A$2:$A$231,0)),"")</f>
        <v>Data for: "Blame Avoidance and Policy Stability in Developing Democracies: The Politics of Public Security in Buenos Aires"</v>
      </c>
      <c r="D395" s="8" t="s">
        <v>969</v>
      </c>
      <c r="E395" s="8" t="s">
        <v>562</v>
      </c>
      <c r="F395" s="8" t="s">
        <v>305</v>
      </c>
      <c r="G395" s="8" t="s">
        <v>307</v>
      </c>
      <c r="H395" s="8" t="s">
        <v>306</v>
      </c>
      <c r="I395" s="9" t="n">
        <v>0</v>
      </c>
      <c r="J395" s="8" t="s">
        <v>33</v>
      </c>
    </row>
    <row r="396" customFormat="false" ht="15" hidden="false" customHeight="false" outlineLevel="0" collapsed="false">
      <c r="A396" s="8" t="n">
        <v>3355</v>
      </c>
      <c r="B396" s="8" t="n">
        <v>86</v>
      </c>
      <c r="C396" s="8" t="str">
        <f aca="false">IFERROR(INDEX('Project Classifications'!$B$2:$B$231,MATCH(B396,'Project Classifications'!$A$2:$A$231,0)),"")</f>
        <v>Data for: "Blame Avoidance and Policy Stability in Developing Democracies: The Politics of Public Security in Buenos Aires"</v>
      </c>
      <c r="D396" s="8" t="s">
        <v>970</v>
      </c>
      <c r="E396" s="8" t="s">
        <v>574</v>
      </c>
      <c r="F396" s="8" t="s">
        <v>53</v>
      </c>
      <c r="G396" s="8" t="s">
        <v>55</v>
      </c>
      <c r="H396" s="8" t="s">
        <v>56</v>
      </c>
      <c r="I396" s="9" t="n">
        <v>0.142857142857143</v>
      </c>
      <c r="J396" s="8" t="s">
        <v>33</v>
      </c>
    </row>
    <row r="397" customFormat="false" ht="15" hidden="false" customHeight="false" outlineLevel="0" collapsed="false">
      <c r="A397" s="8" t="n">
        <v>3357</v>
      </c>
      <c r="B397" s="8" t="n">
        <v>87</v>
      </c>
      <c r="C397" s="8" t="str">
        <f aca="false">IFERROR(INDEX('Project Classifications'!$B$2:$B$231,MATCH(B397,'Project Classifications'!$A$2:$A$231,0)),"")</f>
        <v>Data for: Sexual Risk-Taking Behavior Amongst Emerging Adults from a Tertiary Institution of Learning from Coastal Kenya: A Qualitative Study of Stakeholders’ Perspectives Using Causal Loop Mapping</v>
      </c>
      <c r="D397" s="8" t="s">
        <v>971</v>
      </c>
      <c r="E397" s="8" t="s">
        <v>562</v>
      </c>
      <c r="F397" s="8" t="s">
        <v>48</v>
      </c>
      <c r="G397" s="8" t="s">
        <v>50</v>
      </c>
      <c r="H397" s="8" t="s">
        <v>49</v>
      </c>
      <c r="I397" s="9" t="n">
        <v>0.3125</v>
      </c>
      <c r="J397" s="8" t="s">
        <v>33</v>
      </c>
    </row>
    <row r="398" customFormat="false" ht="15" hidden="false" customHeight="false" outlineLevel="0" collapsed="false">
      <c r="A398" s="8" t="n">
        <v>3358</v>
      </c>
      <c r="B398" s="8" t="n">
        <v>87</v>
      </c>
      <c r="C398" s="8" t="str">
        <f aca="false">IFERROR(INDEX('Project Classifications'!$B$2:$B$231,MATCH(B398,'Project Classifications'!$A$2:$A$231,0)),"")</f>
        <v>Data for: Sexual Risk-Taking Behavior Amongst Emerging Adults from a Tertiary Institution of Learning from Coastal Kenya: A Qualitative Study of Stakeholders’ Perspectives Using Causal Loop Mapping</v>
      </c>
      <c r="D398" s="8" t="s">
        <v>972</v>
      </c>
      <c r="E398" s="8" t="s">
        <v>562</v>
      </c>
      <c r="F398" s="8" t="s">
        <v>42</v>
      </c>
      <c r="G398" s="8" t="s">
        <v>44</v>
      </c>
      <c r="H398" s="8" t="s">
        <v>45</v>
      </c>
      <c r="I398" s="9" t="n">
        <v>0.277777777777778</v>
      </c>
      <c r="J398" s="8" t="s">
        <v>33</v>
      </c>
    </row>
    <row r="399" customFormat="false" ht="15" hidden="false" customHeight="false" outlineLevel="0" collapsed="false">
      <c r="A399" s="8" t="n">
        <v>3359</v>
      </c>
      <c r="B399" s="8" t="n">
        <v>87</v>
      </c>
      <c r="C399" s="8" t="str">
        <f aca="false">IFERROR(INDEX('Project Classifications'!$B$2:$B$231,MATCH(B399,'Project Classifications'!$A$2:$A$231,0)),"")</f>
        <v>Data for: Sexual Risk-Taking Behavior Amongst Emerging Adults from a Tertiary Institution of Learning from Coastal Kenya: A Qualitative Study of Stakeholders’ Perspectives Using Causal Loop Mapping</v>
      </c>
      <c r="D399" s="8" t="s">
        <v>973</v>
      </c>
      <c r="E399" s="8" t="s">
        <v>562</v>
      </c>
      <c r="F399" s="8" t="s">
        <v>48</v>
      </c>
      <c r="G399" s="8" t="s">
        <v>50</v>
      </c>
      <c r="H399" s="8" t="s">
        <v>49</v>
      </c>
      <c r="I399" s="9" t="n">
        <v>0.1875</v>
      </c>
      <c r="J399" s="8" t="s">
        <v>33</v>
      </c>
    </row>
    <row r="400" customFormat="false" ht="15" hidden="false" customHeight="false" outlineLevel="0" collapsed="false">
      <c r="A400" s="8" t="n">
        <v>3360</v>
      </c>
      <c r="B400" s="8" t="n">
        <v>87</v>
      </c>
      <c r="C400" s="8" t="str">
        <f aca="false">IFERROR(INDEX('Project Classifications'!$B$2:$B$231,MATCH(B400,'Project Classifications'!$A$2:$A$231,0)),"")</f>
        <v>Data for: Sexual Risk-Taking Behavior Amongst Emerging Adults from a Tertiary Institution of Learning from Coastal Kenya: A Qualitative Study of Stakeholders’ Perspectives Using Causal Loop Mapping</v>
      </c>
      <c r="D400" s="8" t="s">
        <v>974</v>
      </c>
      <c r="E400" s="8" t="s">
        <v>562</v>
      </c>
      <c r="F400" s="8" t="s">
        <v>48</v>
      </c>
      <c r="G400" s="8" t="s">
        <v>50</v>
      </c>
      <c r="H400" s="8" t="s">
        <v>49</v>
      </c>
      <c r="I400" s="9" t="n">
        <v>0.1875</v>
      </c>
      <c r="J400" s="8" t="s">
        <v>33</v>
      </c>
    </row>
    <row r="401" customFormat="false" ht="15" hidden="false" customHeight="false" outlineLevel="0" collapsed="false">
      <c r="A401" s="8" t="n">
        <v>3361</v>
      </c>
      <c r="B401" s="8" t="n">
        <v>87</v>
      </c>
      <c r="C401" s="8" t="str">
        <f aca="false">IFERROR(INDEX('Project Classifications'!$B$2:$B$231,MATCH(B401,'Project Classifications'!$A$2:$A$231,0)),"")</f>
        <v>Data for: Sexual Risk-Taking Behavior Amongst Emerging Adults from a Tertiary Institution of Learning from Coastal Kenya: A Qualitative Study of Stakeholders’ Perspectives Using Causal Loop Mapping</v>
      </c>
      <c r="D401" s="8" t="s">
        <v>975</v>
      </c>
      <c r="E401" s="8" t="s">
        <v>574</v>
      </c>
      <c r="F401" s="8" t="s">
        <v>48</v>
      </c>
      <c r="G401" s="8" t="s">
        <v>50</v>
      </c>
      <c r="H401" s="8" t="s">
        <v>49</v>
      </c>
      <c r="I401" s="9" t="n">
        <v>0.25</v>
      </c>
      <c r="J401" s="8" t="s">
        <v>33</v>
      </c>
    </row>
    <row r="402" customFormat="false" ht="15" hidden="false" customHeight="false" outlineLevel="0" collapsed="false">
      <c r="A402" s="8" t="n">
        <v>3362</v>
      </c>
      <c r="B402" s="8" t="n">
        <v>88</v>
      </c>
      <c r="C402" s="8" t="str">
        <f aca="false">IFERROR(INDEX('Project Classifications'!$B$2:$B$231,MATCH(B402,'Project Classifications'!$A$2:$A$231,0)),"")</f>
        <v>Data for: Ways into Physical (In)Activity: The Role of Critical Life Events and Transitions in the Reconstructions of Young Adults</v>
      </c>
      <c r="D402" s="8" t="s">
        <v>976</v>
      </c>
      <c r="E402" s="8" t="s">
        <v>562</v>
      </c>
      <c r="F402" s="8" t="s">
        <v>42</v>
      </c>
      <c r="G402" s="8" t="s">
        <v>44</v>
      </c>
      <c r="H402" s="8" t="s">
        <v>45</v>
      </c>
      <c r="I402" s="9" t="n">
        <v>0.0555555555555556</v>
      </c>
      <c r="J402" s="8" t="s">
        <v>33</v>
      </c>
    </row>
    <row r="403" customFormat="false" ht="15" hidden="false" customHeight="false" outlineLevel="0" collapsed="false">
      <c r="A403" s="8" t="n">
        <v>3363</v>
      </c>
      <c r="B403" s="8" t="n">
        <v>88</v>
      </c>
      <c r="C403" s="8" t="str">
        <f aca="false">IFERROR(INDEX('Project Classifications'!$B$2:$B$231,MATCH(B403,'Project Classifications'!$A$2:$A$231,0)),"")</f>
        <v>Data for: Ways into Physical (In)Activity: The Role of Critical Life Events and Transitions in the Reconstructions of Young Adults</v>
      </c>
      <c r="D403" s="8" t="s">
        <v>977</v>
      </c>
      <c r="E403" s="8" t="s">
        <v>562</v>
      </c>
      <c r="F403" s="8" t="s">
        <v>42</v>
      </c>
      <c r="G403" s="8" t="s">
        <v>44</v>
      </c>
      <c r="H403" s="8" t="s">
        <v>45</v>
      </c>
      <c r="I403" s="9" t="n">
        <v>0.333333333333333</v>
      </c>
      <c r="J403" s="8" t="s">
        <v>33</v>
      </c>
    </row>
    <row r="404" customFormat="false" ht="15" hidden="false" customHeight="false" outlineLevel="0" collapsed="false">
      <c r="A404" s="8" t="n">
        <v>3364</v>
      </c>
      <c r="B404" s="8" t="n">
        <v>88</v>
      </c>
      <c r="C404" s="8" t="str">
        <f aca="false">IFERROR(INDEX('Project Classifications'!$B$2:$B$231,MATCH(B404,'Project Classifications'!$A$2:$A$231,0)),"")</f>
        <v>Data for: Ways into Physical (In)Activity: The Role of Critical Life Events and Transitions in the Reconstructions of Young Adults</v>
      </c>
      <c r="D404" s="8" t="s">
        <v>978</v>
      </c>
      <c r="E404" s="8" t="s">
        <v>562</v>
      </c>
      <c r="F404" s="8" t="s">
        <v>42</v>
      </c>
      <c r="G404" s="8" t="s">
        <v>44</v>
      </c>
      <c r="H404" s="8" t="s">
        <v>45</v>
      </c>
      <c r="I404" s="9" t="n">
        <v>0.111111111111111</v>
      </c>
      <c r="J404" s="8" t="s">
        <v>33</v>
      </c>
    </row>
    <row r="405" customFormat="false" ht="15" hidden="false" customHeight="false" outlineLevel="0" collapsed="false">
      <c r="A405" s="8" t="n">
        <v>3365</v>
      </c>
      <c r="B405" s="8" t="n">
        <v>88</v>
      </c>
      <c r="C405" s="8" t="str">
        <f aca="false">IFERROR(INDEX('Project Classifications'!$B$2:$B$231,MATCH(B405,'Project Classifications'!$A$2:$A$231,0)),"")</f>
        <v>Data for: Ways into Physical (In)Activity: The Role of Critical Life Events and Transitions in the Reconstructions of Young Adults</v>
      </c>
      <c r="D405" s="8" t="s">
        <v>979</v>
      </c>
      <c r="E405" s="8" t="s">
        <v>562</v>
      </c>
      <c r="F405" s="8" t="s">
        <v>36</v>
      </c>
      <c r="G405" s="8" t="s">
        <v>980</v>
      </c>
      <c r="H405" s="8" t="s">
        <v>981</v>
      </c>
      <c r="I405" s="9" t="n">
        <v>0.2</v>
      </c>
      <c r="J405" s="8" t="s">
        <v>33</v>
      </c>
    </row>
    <row r="406" customFormat="false" ht="15" hidden="false" customHeight="false" outlineLevel="0" collapsed="false">
      <c r="A406" s="8" t="n">
        <v>3366</v>
      </c>
      <c r="B406" s="8" t="n">
        <v>88</v>
      </c>
      <c r="C406" s="8" t="str">
        <f aca="false">IFERROR(INDEX('Project Classifications'!$B$2:$B$231,MATCH(B406,'Project Classifications'!$A$2:$A$231,0)),"")</f>
        <v>Data for: Ways into Physical (In)Activity: The Role of Critical Life Events and Transitions in the Reconstructions of Young Adults</v>
      </c>
      <c r="D406" s="8" t="s">
        <v>982</v>
      </c>
      <c r="E406" s="8" t="s">
        <v>562</v>
      </c>
      <c r="F406" s="8" t="s">
        <v>36</v>
      </c>
      <c r="G406" s="8" t="s">
        <v>980</v>
      </c>
      <c r="H406" s="8" t="s">
        <v>981</v>
      </c>
      <c r="I406" s="9" t="n">
        <v>0.4</v>
      </c>
      <c r="J406" s="8" t="s">
        <v>33</v>
      </c>
    </row>
    <row r="407" customFormat="false" ht="15" hidden="false" customHeight="false" outlineLevel="0" collapsed="false">
      <c r="A407" s="8" t="n">
        <v>3413</v>
      </c>
      <c r="B407" s="8" t="n">
        <v>88</v>
      </c>
      <c r="C407" s="8" t="str">
        <f aca="false">IFERROR(INDEX('Project Classifications'!$B$2:$B$231,MATCH(B407,'Project Classifications'!$A$2:$A$231,0)),"")</f>
        <v>Data for: Ways into Physical (In)Activity: The Role of Critical Life Events and Transitions in the Reconstructions of Young Adults</v>
      </c>
      <c r="D407" s="8" t="s">
        <v>983</v>
      </c>
      <c r="E407" s="8" t="s">
        <v>574</v>
      </c>
      <c r="F407" s="8" t="s">
        <v>42</v>
      </c>
      <c r="G407" s="8" t="s">
        <v>44</v>
      </c>
      <c r="H407" s="8" t="s">
        <v>45</v>
      </c>
      <c r="I407" s="9" t="n">
        <v>0.333333333333333</v>
      </c>
      <c r="J407" s="8" t="s">
        <v>33</v>
      </c>
    </row>
    <row r="408" customFormat="false" ht="15" hidden="false" customHeight="false" outlineLevel="0" collapsed="false">
      <c r="A408" s="8" t="n">
        <v>3414</v>
      </c>
      <c r="B408" s="8" t="n">
        <v>89</v>
      </c>
      <c r="C408" s="8" t="str">
        <f aca="false">IFERROR(INDEX('Project Classifications'!$B$2:$B$231,MATCH(B408,'Project Classifications'!$A$2:$A$231,0)),"")</f>
        <v>Data for: Attachment to and Detachment from Favorite Stores: An Affordance Theory Perspective</v>
      </c>
      <c r="D408" s="8" t="s">
        <v>984</v>
      </c>
      <c r="E408" s="8" t="s">
        <v>562</v>
      </c>
      <c r="F408" s="8" t="s">
        <v>48</v>
      </c>
      <c r="G408" s="8" t="s">
        <v>50</v>
      </c>
      <c r="H408" s="8" t="s">
        <v>49</v>
      </c>
      <c r="I408" s="9" t="n">
        <v>0.125</v>
      </c>
      <c r="J408" s="8" t="s">
        <v>33</v>
      </c>
    </row>
    <row r="409" customFormat="false" ht="15" hidden="false" customHeight="false" outlineLevel="0" collapsed="false">
      <c r="A409" s="8" t="n">
        <v>3470</v>
      </c>
      <c r="B409" s="8" t="n">
        <v>89</v>
      </c>
      <c r="C409" s="8" t="str">
        <f aca="false">IFERROR(INDEX('Project Classifications'!$B$2:$B$231,MATCH(B409,'Project Classifications'!$A$2:$A$231,0)),"")</f>
        <v>Data for: Attachment to and Detachment from Favorite Stores: An Affordance Theory Perspective</v>
      </c>
      <c r="D409" s="8" t="s">
        <v>985</v>
      </c>
      <c r="E409" s="8" t="s">
        <v>600</v>
      </c>
      <c r="F409" s="8" t="s">
        <v>117</v>
      </c>
      <c r="G409" s="8" t="s">
        <v>119</v>
      </c>
      <c r="H409" s="8" t="s">
        <v>120</v>
      </c>
      <c r="I409" s="9" t="n">
        <v>0.25</v>
      </c>
      <c r="J409" s="8" t="s">
        <v>33</v>
      </c>
    </row>
    <row r="410" customFormat="false" ht="15" hidden="false" customHeight="false" outlineLevel="0" collapsed="false">
      <c r="A410" s="8" t="n">
        <v>3471</v>
      </c>
      <c r="B410" s="8" t="n">
        <v>89</v>
      </c>
      <c r="C410" s="8" t="str">
        <f aca="false">IFERROR(INDEX('Project Classifications'!$B$2:$B$231,MATCH(B410,'Project Classifications'!$A$2:$A$231,0)),"")</f>
        <v>Data for: Attachment to and Detachment from Favorite Stores: An Affordance Theory Perspective</v>
      </c>
      <c r="D410" s="8" t="s">
        <v>986</v>
      </c>
      <c r="E410" s="8" t="s">
        <v>600</v>
      </c>
      <c r="F410" s="8" t="s">
        <v>30</v>
      </c>
      <c r="G410" s="8" t="s">
        <v>32</v>
      </c>
      <c r="H410" s="8" t="s">
        <v>31</v>
      </c>
      <c r="I410" s="9" t="n">
        <v>0.0588235294117647</v>
      </c>
      <c r="J410" s="8" t="s">
        <v>33</v>
      </c>
    </row>
    <row r="411" customFormat="false" ht="15" hidden="false" customHeight="false" outlineLevel="0" collapsed="false">
      <c r="A411" s="8" t="n">
        <v>3472</v>
      </c>
      <c r="B411" s="8" t="n">
        <v>89</v>
      </c>
      <c r="C411" s="8" t="str">
        <f aca="false">IFERROR(INDEX('Project Classifications'!$B$2:$B$231,MATCH(B411,'Project Classifications'!$A$2:$A$231,0)),"")</f>
        <v>Data for: Attachment to and Detachment from Favorite Stores: An Affordance Theory Perspective</v>
      </c>
      <c r="D411" s="8" t="s">
        <v>987</v>
      </c>
      <c r="E411" s="8" t="s">
        <v>574</v>
      </c>
      <c r="F411" s="8" t="s">
        <v>53</v>
      </c>
      <c r="G411" s="8" t="s">
        <v>55</v>
      </c>
      <c r="H411" s="8" t="s">
        <v>56</v>
      </c>
      <c r="I411" s="9" t="n">
        <v>0.285714285714286</v>
      </c>
      <c r="J411" s="8" t="s">
        <v>33</v>
      </c>
    </row>
    <row r="412" customFormat="false" ht="15" hidden="false" customHeight="false" outlineLevel="0" collapsed="false">
      <c r="A412" s="8" t="n">
        <v>3473</v>
      </c>
      <c r="B412" s="8" t="n">
        <v>90</v>
      </c>
      <c r="C412" s="8" t="str">
        <f aca="false">IFERROR(INDEX('Project Classifications'!$B$2:$B$231,MATCH(B412,'Project Classifications'!$A$2:$A$231,0)),"")</f>
        <v>Investigating and Archiving the Scholarly Git Experience</v>
      </c>
      <c r="D412" s="8" t="s">
        <v>988</v>
      </c>
      <c r="E412" s="8" t="s">
        <v>989</v>
      </c>
      <c r="F412" s="8" t="s">
        <v>48</v>
      </c>
      <c r="G412" s="8" t="s">
        <v>50</v>
      </c>
      <c r="H412" s="8" t="s">
        <v>49</v>
      </c>
      <c r="I412" s="9" t="n">
        <v>0.0625</v>
      </c>
      <c r="J412" s="8" t="s">
        <v>33</v>
      </c>
    </row>
    <row r="413" customFormat="false" ht="15" hidden="false" customHeight="false" outlineLevel="0" collapsed="false">
      <c r="A413" s="8" t="n">
        <v>3474</v>
      </c>
      <c r="B413" s="8" t="n">
        <v>90</v>
      </c>
      <c r="C413" s="8" t="str">
        <f aca="false">IFERROR(INDEX('Project Classifications'!$B$2:$B$231,MATCH(B413,'Project Classifications'!$A$2:$A$231,0)),"")</f>
        <v>Investigating and Archiving the Scholarly Git Experience</v>
      </c>
      <c r="D413" s="8" t="s">
        <v>990</v>
      </c>
      <c r="E413" s="8" t="s">
        <v>991</v>
      </c>
      <c r="F413" s="8" t="s">
        <v>305</v>
      </c>
      <c r="G413" s="8" t="s">
        <v>307</v>
      </c>
      <c r="H413" s="8" t="s">
        <v>306</v>
      </c>
      <c r="I413" s="9" t="n">
        <v>0</v>
      </c>
      <c r="J413" s="8" t="s">
        <v>33</v>
      </c>
    </row>
    <row r="414" customFormat="false" ht="15" hidden="false" customHeight="false" outlineLevel="0" collapsed="false">
      <c r="A414" s="8" t="n">
        <v>3477</v>
      </c>
      <c r="B414" s="8" t="n">
        <v>90</v>
      </c>
      <c r="C414" s="8" t="str">
        <f aca="false">IFERROR(INDEX('Project Classifications'!$B$2:$B$231,MATCH(B414,'Project Classifications'!$A$2:$A$231,0)),"")</f>
        <v>Investigating and Archiving the Scholarly Git Experience</v>
      </c>
      <c r="D414" s="8" t="s">
        <v>992</v>
      </c>
      <c r="E414" s="8" t="s">
        <v>574</v>
      </c>
      <c r="F414" s="8" t="s">
        <v>53</v>
      </c>
      <c r="G414" s="8" t="s">
        <v>55</v>
      </c>
      <c r="H414" s="8" t="s">
        <v>56</v>
      </c>
      <c r="I414" s="9" t="n">
        <v>0.285714285714286</v>
      </c>
      <c r="J414" s="8" t="s">
        <v>33</v>
      </c>
    </row>
    <row r="415" customFormat="false" ht="15" hidden="false" customHeight="false" outlineLevel="0" collapsed="false">
      <c r="A415" s="8" t="n">
        <v>3478</v>
      </c>
      <c r="B415" s="8" t="n">
        <v>90</v>
      </c>
      <c r="C415" s="8" t="str">
        <f aca="false">IFERROR(INDEX('Project Classifications'!$B$2:$B$231,MATCH(B415,'Project Classifications'!$A$2:$A$231,0)),"")</f>
        <v>Investigating and Archiving the Scholarly Git Experience</v>
      </c>
      <c r="D415" s="8" t="s">
        <v>993</v>
      </c>
      <c r="E415" s="8" t="s">
        <v>994</v>
      </c>
      <c r="F415" s="8" t="s">
        <v>53</v>
      </c>
      <c r="G415" s="8" t="s">
        <v>55</v>
      </c>
      <c r="H415" s="8" t="s">
        <v>56</v>
      </c>
      <c r="I415" s="9" t="n">
        <v>0</v>
      </c>
      <c r="J415" s="8" t="s">
        <v>741</v>
      </c>
    </row>
    <row r="416" customFormat="false" ht="15" hidden="false" customHeight="false" outlineLevel="0" collapsed="false">
      <c r="A416" s="8" t="n">
        <v>3479</v>
      </c>
      <c r="B416" s="8" t="n">
        <v>90</v>
      </c>
      <c r="C416" s="8" t="str">
        <f aca="false">IFERROR(INDEX('Project Classifications'!$B$2:$B$231,MATCH(B416,'Project Classifications'!$A$2:$A$231,0)),"")</f>
        <v>Investigating and Archiving the Scholarly Git Experience</v>
      </c>
      <c r="D416" s="8" t="s">
        <v>995</v>
      </c>
      <c r="E416" s="8" t="s">
        <v>996</v>
      </c>
      <c r="F416" s="8" t="s">
        <v>48</v>
      </c>
      <c r="G416" s="8" t="s">
        <v>50</v>
      </c>
      <c r="H416" s="8" t="s">
        <v>49</v>
      </c>
      <c r="I416" s="9" t="n">
        <v>0.25</v>
      </c>
      <c r="J416" s="8" t="s">
        <v>33</v>
      </c>
    </row>
    <row r="417" customFormat="false" ht="15" hidden="false" customHeight="false" outlineLevel="0" collapsed="false">
      <c r="A417" s="8" t="n">
        <v>3480</v>
      </c>
      <c r="B417" s="8" t="n">
        <v>90</v>
      </c>
      <c r="C417" s="8" t="str">
        <f aca="false">IFERROR(INDEX('Project Classifications'!$B$2:$B$231,MATCH(B417,'Project Classifications'!$A$2:$A$231,0)),"")</f>
        <v>Investigating and Archiving the Scholarly Git Experience</v>
      </c>
      <c r="D417" s="8" t="s">
        <v>997</v>
      </c>
      <c r="E417" s="8" t="s">
        <v>562</v>
      </c>
      <c r="F417" s="8" t="s">
        <v>48</v>
      </c>
      <c r="G417" s="8" t="s">
        <v>50</v>
      </c>
      <c r="H417" s="8" t="s">
        <v>49</v>
      </c>
      <c r="I417" s="9" t="n">
        <v>0.125</v>
      </c>
      <c r="J417" s="8" t="s">
        <v>33</v>
      </c>
    </row>
    <row r="418" customFormat="false" ht="15" hidden="false" customHeight="false" outlineLevel="0" collapsed="false">
      <c r="A418" s="8" t="n">
        <v>3481</v>
      </c>
      <c r="B418" s="8" t="n">
        <v>90</v>
      </c>
      <c r="C418" s="8" t="str">
        <f aca="false">IFERROR(INDEX('Project Classifications'!$B$2:$B$231,MATCH(B418,'Project Classifications'!$A$2:$A$231,0)),"")</f>
        <v>Investigating and Archiving the Scholarly Git Experience</v>
      </c>
      <c r="D418" s="8" t="s">
        <v>998</v>
      </c>
      <c r="E418" s="8" t="s">
        <v>999</v>
      </c>
      <c r="F418" s="8" t="s">
        <v>53</v>
      </c>
      <c r="G418" s="8" t="s">
        <v>55</v>
      </c>
      <c r="H418" s="8" t="s">
        <v>56</v>
      </c>
      <c r="I418" s="9" t="n">
        <v>0</v>
      </c>
      <c r="J418" s="8" t="s">
        <v>741</v>
      </c>
    </row>
    <row r="419" customFormat="false" ht="15" hidden="false" customHeight="false" outlineLevel="0" collapsed="false">
      <c r="A419" s="8" t="n">
        <v>3485</v>
      </c>
      <c r="B419" s="8" t="n">
        <v>90</v>
      </c>
      <c r="C419" s="8" t="str">
        <f aca="false">IFERROR(INDEX('Project Classifications'!$B$2:$B$231,MATCH(B419,'Project Classifications'!$A$2:$A$231,0)),"")</f>
        <v>Investigating and Archiving the Scholarly Git Experience</v>
      </c>
      <c r="D419" s="8" t="s">
        <v>1000</v>
      </c>
      <c r="E419" s="8" t="s">
        <v>1001</v>
      </c>
      <c r="F419" s="8" t="s">
        <v>53</v>
      </c>
      <c r="G419" s="8" t="s">
        <v>55</v>
      </c>
      <c r="H419" s="8" t="s">
        <v>56</v>
      </c>
      <c r="I419" s="9" t="n">
        <v>0</v>
      </c>
      <c r="J419" s="8" t="s">
        <v>741</v>
      </c>
    </row>
    <row r="420" customFormat="false" ht="15" hidden="false" customHeight="false" outlineLevel="0" collapsed="false">
      <c r="A420" s="8" t="n">
        <v>3486</v>
      </c>
      <c r="B420" s="8" t="n">
        <v>90</v>
      </c>
      <c r="C420" s="8" t="str">
        <f aca="false">IFERROR(INDEX('Project Classifications'!$B$2:$B$231,MATCH(B420,'Project Classifications'!$A$2:$A$231,0)),"")</f>
        <v>Investigating and Archiving the Scholarly Git Experience</v>
      </c>
      <c r="D420" s="8" t="s">
        <v>1002</v>
      </c>
      <c r="E420" s="8" t="s">
        <v>600</v>
      </c>
      <c r="F420" s="8" t="s">
        <v>48</v>
      </c>
      <c r="G420" s="8" t="s">
        <v>50</v>
      </c>
      <c r="H420" s="8" t="s">
        <v>49</v>
      </c>
      <c r="I420" s="9" t="n">
        <v>0.1875</v>
      </c>
      <c r="J420" s="8" t="s">
        <v>33</v>
      </c>
    </row>
    <row r="421" customFormat="false" ht="15" hidden="false" customHeight="false" outlineLevel="0" collapsed="false">
      <c r="A421" s="8" t="n">
        <v>3487</v>
      </c>
      <c r="B421" s="8" t="n">
        <v>90</v>
      </c>
      <c r="C421" s="8" t="str">
        <f aca="false">IFERROR(INDEX('Project Classifications'!$B$2:$B$231,MATCH(B421,'Project Classifications'!$A$2:$A$231,0)),"")</f>
        <v>Investigating and Archiving the Scholarly Git Experience</v>
      </c>
      <c r="D421" s="8" t="s">
        <v>1003</v>
      </c>
      <c r="E421" s="8" t="s">
        <v>996</v>
      </c>
      <c r="F421" s="8" t="s">
        <v>48</v>
      </c>
      <c r="G421" s="8" t="s">
        <v>50</v>
      </c>
      <c r="H421" s="8" t="s">
        <v>49</v>
      </c>
      <c r="I421" s="9" t="n">
        <v>0.125</v>
      </c>
      <c r="J421" s="8" t="s">
        <v>33</v>
      </c>
    </row>
    <row r="422" customFormat="false" ht="15" hidden="false" customHeight="false" outlineLevel="0" collapsed="false">
      <c r="A422" s="8" t="n">
        <v>3488</v>
      </c>
      <c r="B422" s="8" t="n">
        <v>90</v>
      </c>
      <c r="C422" s="8" t="str">
        <f aca="false">IFERROR(INDEX('Project Classifications'!$B$2:$B$231,MATCH(B422,'Project Classifications'!$A$2:$A$231,0)),"")</f>
        <v>Investigating and Archiving the Scholarly Git Experience</v>
      </c>
      <c r="D422" s="8" t="s">
        <v>1004</v>
      </c>
      <c r="E422" s="8" t="s">
        <v>996</v>
      </c>
      <c r="F422" s="8" t="s">
        <v>48</v>
      </c>
      <c r="G422" s="8" t="s">
        <v>50</v>
      </c>
      <c r="H422" s="8" t="s">
        <v>49</v>
      </c>
      <c r="I422" s="9" t="n">
        <v>0.125</v>
      </c>
      <c r="J422" s="8" t="s">
        <v>33</v>
      </c>
    </row>
    <row r="423" customFormat="false" ht="15" hidden="false" customHeight="false" outlineLevel="0" collapsed="false">
      <c r="A423" s="8" t="n">
        <v>3489</v>
      </c>
      <c r="B423" s="8" t="n">
        <v>90</v>
      </c>
      <c r="C423" s="8" t="str">
        <f aca="false">IFERROR(INDEX('Project Classifications'!$B$2:$B$231,MATCH(B423,'Project Classifications'!$A$2:$A$231,0)),"")</f>
        <v>Investigating and Archiving the Scholarly Git Experience</v>
      </c>
      <c r="D423" s="8" t="s">
        <v>1005</v>
      </c>
      <c r="E423" s="8" t="s">
        <v>562</v>
      </c>
      <c r="F423" s="8" t="s">
        <v>48</v>
      </c>
      <c r="G423" s="8" t="s">
        <v>50</v>
      </c>
      <c r="H423" s="8" t="s">
        <v>49</v>
      </c>
      <c r="I423" s="9" t="n">
        <v>0.125</v>
      </c>
      <c r="J423" s="8" t="s">
        <v>33</v>
      </c>
    </row>
    <row r="424" customFormat="false" ht="15" hidden="false" customHeight="false" outlineLevel="0" collapsed="false">
      <c r="A424" s="8" t="n">
        <v>3490</v>
      </c>
      <c r="B424" s="8" t="n">
        <v>90</v>
      </c>
      <c r="C424" s="8" t="str">
        <f aca="false">IFERROR(INDEX('Project Classifications'!$B$2:$B$231,MATCH(B424,'Project Classifications'!$A$2:$A$231,0)),"")</f>
        <v>Investigating and Archiving the Scholarly Git Experience</v>
      </c>
      <c r="D424" s="8" t="s">
        <v>1006</v>
      </c>
      <c r="E424" s="8" t="s">
        <v>999</v>
      </c>
      <c r="F424" s="8" t="s">
        <v>53</v>
      </c>
      <c r="G424" s="8" t="s">
        <v>55</v>
      </c>
      <c r="H424" s="8" t="s">
        <v>56</v>
      </c>
      <c r="I424" s="9" t="n">
        <v>0</v>
      </c>
      <c r="J424" s="8" t="s">
        <v>741</v>
      </c>
    </row>
    <row r="425" customFormat="false" ht="15" hidden="false" customHeight="false" outlineLevel="0" collapsed="false">
      <c r="A425" s="8" t="n">
        <v>3491</v>
      </c>
      <c r="B425" s="8" t="n">
        <v>90</v>
      </c>
      <c r="C425" s="8" t="str">
        <f aca="false">IFERROR(INDEX('Project Classifications'!$B$2:$B$231,MATCH(B425,'Project Classifications'!$A$2:$A$231,0)),"")</f>
        <v>Investigating and Archiving the Scholarly Git Experience</v>
      </c>
      <c r="D425" s="8" t="s">
        <v>1007</v>
      </c>
      <c r="E425" s="8" t="s">
        <v>600</v>
      </c>
      <c r="F425" s="8" t="s">
        <v>305</v>
      </c>
      <c r="G425" s="8" t="s">
        <v>307</v>
      </c>
      <c r="H425" s="8" t="s">
        <v>306</v>
      </c>
      <c r="I425" s="9" t="n">
        <v>0</v>
      </c>
      <c r="J425" s="8" t="s">
        <v>33</v>
      </c>
    </row>
    <row r="426" customFormat="false" ht="15" hidden="false" customHeight="false" outlineLevel="0" collapsed="false">
      <c r="A426" s="8" t="n">
        <v>3492</v>
      </c>
      <c r="B426" s="8" t="n">
        <v>90</v>
      </c>
      <c r="C426" s="8" t="str">
        <f aca="false">IFERROR(INDEX('Project Classifications'!$B$2:$B$231,MATCH(B426,'Project Classifications'!$A$2:$A$231,0)),"")</f>
        <v>Investigating and Archiving the Scholarly Git Experience</v>
      </c>
      <c r="D426" s="8" t="s">
        <v>1008</v>
      </c>
      <c r="E426" s="8" t="s">
        <v>1001</v>
      </c>
      <c r="F426" s="8" t="s">
        <v>53</v>
      </c>
      <c r="G426" s="8" t="s">
        <v>55</v>
      </c>
      <c r="H426" s="8" t="s">
        <v>56</v>
      </c>
      <c r="I426" s="9" t="n">
        <v>0</v>
      </c>
      <c r="J426" s="8" t="s">
        <v>741</v>
      </c>
    </row>
    <row r="427" customFormat="false" ht="15" hidden="false" customHeight="false" outlineLevel="0" collapsed="false">
      <c r="A427" s="8" t="n">
        <v>3493</v>
      </c>
      <c r="B427" s="8" t="n">
        <v>90</v>
      </c>
      <c r="C427" s="8" t="str">
        <f aca="false">IFERROR(INDEX('Project Classifications'!$B$2:$B$231,MATCH(B427,'Project Classifications'!$A$2:$A$231,0)),"")</f>
        <v>Investigating and Archiving the Scholarly Git Experience</v>
      </c>
      <c r="D427" s="8" t="s">
        <v>1009</v>
      </c>
      <c r="E427" s="8" t="s">
        <v>600</v>
      </c>
      <c r="F427" s="8" t="s">
        <v>48</v>
      </c>
      <c r="G427" s="8" t="s">
        <v>50</v>
      </c>
      <c r="H427" s="8" t="s">
        <v>49</v>
      </c>
      <c r="I427" s="9" t="n">
        <v>0.125</v>
      </c>
      <c r="J427" s="8" t="s">
        <v>33</v>
      </c>
    </row>
    <row r="428" customFormat="false" ht="15" hidden="false" customHeight="false" outlineLevel="0" collapsed="false">
      <c r="A428" s="8" t="n">
        <v>3494</v>
      </c>
      <c r="B428" s="8" t="n">
        <v>90</v>
      </c>
      <c r="C428" s="8" t="str">
        <f aca="false">IFERROR(INDEX('Project Classifications'!$B$2:$B$231,MATCH(B428,'Project Classifications'!$A$2:$A$231,0)),"")</f>
        <v>Investigating and Archiving the Scholarly Git Experience</v>
      </c>
      <c r="D428" s="8" t="s">
        <v>1010</v>
      </c>
      <c r="E428" s="8" t="s">
        <v>996</v>
      </c>
      <c r="F428" s="8" t="s">
        <v>48</v>
      </c>
      <c r="G428" s="8" t="s">
        <v>50</v>
      </c>
      <c r="H428" s="8" t="s">
        <v>49</v>
      </c>
      <c r="I428" s="9" t="n">
        <v>0.125</v>
      </c>
      <c r="J428" s="8" t="s">
        <v>33</v>
      </c>
    </row>
    <row r="429" customFormat="false" ht="15" hidden="false" customHeight="false" outlineLevel="0" collapsed="false">
      <c r="A429" s="8" t="n">
        <v>3495</v>
      </c>
      <c r="B429" s="8" t="n">
        <v>90</v>
      </c>
      <c r="C429" s="8" t="str">
        <f aca="false">IFERROR(INDEX('Project Classifications'!$B$2:$B$231,MATCH(B429,'Project Classifications'!$A$2:$A$231,0)),"")</f>
        <v>Investigating and Archiving the Scholarly Git Experience</v>
      </c>
      <c r="D429" s="8" t="s">
        <v>1011</v>
      </c>
      <c r="E429" s="8" t="s">
        <v>562</v>
      </c>
      <c r="F429" s="8" t="s">
        <v>48</v>
      </c>
      <c r="G429" s="8" t="s">
        <v>50</v>
      </c>
      <c r="H429" s="8" t="s">
        <v>49</v>
      </c>
      <c r="I429" s="9" t="n">
        <v>0.125</v>
      </c>
      <c r="J429" s="8" t="s">
        <v>33</v>
      </c>
    </row>
    <row r="430" customFormat="false" ht="15" hidden="false" customHeight="false" outlineLevel="0" collapsed="false">
      <c r="A430" s="8" t="n">
        <v>3496</v>
      </c>
      <c r="B430" s="8" t="n">
        <v>90</v>
      </c>
      <c r="C430" s="8" t="str">
        <f aca="false">IFERROR(INDEX('Project Classifications'!$B$2:$B$231,MATCH(B430,'Project Classifications'!$A$2:$A$231,0)),"")</f>
        <v>Investigating and Archiving the Scholarly Git Experience</v>
      </c>
      <c r="D430" s="8" t="s">
        <v>1012</v>
      </c>
      <c r="E430" s="8" t="s">
        <v>999</v>
      </c>
      <c r="F430" s="8" t="s">
        <v>53</v>
      </c>
      <c r="G430" s="8" t="s">
        <v>55</v>
      </c>
      <c r="H430" s="8" t="s">
        <v>56</v>
      </c>
      <c r="I430" s="9" t="n">
        <v>0</v>
      </c>
      <c r="J430" s="8" t="s">
        <v>741</v>
      </c>
    </row>
    <row r="431" customFormat="false" ht="15" hidden="false" customHeight="false" outlineLevel="0" collapsed="false">
      <c r="A431" s="8" t="n">
        <v>3497</v>
      </c>
      <c r="B431" s="8" t="n">
        <v>90</v>
      </c>
      <c r="C431" s="8" t="str">
        <f aca="false">IFERROR(INDEX('Project Classifications'!$B$2:$B$231,MATCH(B431,'Project Classifications'!$A$2:$A$231,0)),"")</f>
        <v>Investigating and Archiving the Scholarly Git Experience</v>
      </c>
      <c r="D431" s="8" t="s">
        <v>1013</v>
      </c>
      <c r="E431" s="8" t="s">
        <v>600</v>
      </c>
      <c r="F431" s="8" t="s">
        <v>48</v>
      </c>
      <c r="G431" s="8" t="s">
        <v>50</v>
      </c>
      <c r="H431" s="8" t="s">
        <v>49</v>
      </c>
      <c r="I431" s="9" t="n">
        <v>0.0625</v>
      </c>
      <c r="J431" s="8" t="s">
        <v>33</v>
      </c>
    </row>
    <row r="432" customFormat="false" ht="15" hidden="false" customHeight="false" outlineLevel="0" collapsed="false">
      <c r="A432" s="8" t="n">
        <v>3498</v>
      </c>
      <c r="B432" s="8" t="n">
        <v>90</v>
      </c>
      <c r="C432" s="8" t="str">
        <f aca="false">IFERROR(INDEX('Project Classifications'!$B$2:$B$231,MATCH(B432,'Project Classifications'!$A$2:$A$231,0)),"")</f>
        <v>Investigating and Archiving the Scholarly Git Experience</v>
      </c>
      <c r="D432" s="8" t="s">
        <v>1014</v>
      </c>
      <c r="E432" s="8" t="s">
        <v>996</v>
      </c>
      <c r="F432" s="8" t="s">
        <v>48</v>
      </c>
      <c r="G432" s="8" t="s">
        <v>50</v>
      </c>
      <c r="H432" s="8" t="s">
        <v>49</v>
      </c>
      <c r="I432" s="9" t="n">
        <v>0.25</v>
      </c>
      <c r="J432" s="8" t="s">
        <v>33</v>
      </c>
    </row>
    <row r="433" customFormat="false" ht="15" hidden="false" customHeight="false" outlineLevel="0" collapsed="false">
      <c r="A433" s="8" t="n">
        <v>3499</v>
      </c>
      <c r="B433" s="8" t="n">
        <v>90</v>
      </c>
      <c r="C433" s="8" t="str">
        <f aca="false">IFERROR(INDEX('Project Classifications'!$B$2:$B$231,MATCH(B433,'Project Classifications'!$A$2:$A$231,0)),"")</f>
        <v>Investigating and Archiving the Scholarly Git Experience</v>
      </c>
      <c r="D433" s="8" t="s">
        <v>1015</v>
      </c>
      <c r="E433" s="8" t="s">
        <v>562</v>
      </c>
      <c r="F433" s="8" t="s">
        <v>48</v>
      </c>
      <c r="G433" s="8" t="s">
        <v>50</v>
      </c>
      <c r="H433" s="8" t="s">
        <v>49</v>
      </c>
      <c r="I433" s="9" t="n">
        <v>0.25</v>
      </c>
      <c r="J433" s="8" t="s">
        <v>33</v>
      </c>
    </row>
    <row r="434" customFormat="false" ht="15" hidden="false" customHeight="false" outlineLevel="0" collapsed="false">
      <c r="A434" s="8" t="n">
        <v>3541</v>
      </c>
      <c r="B434" s="8" t="n">
        <v>90</v>
      </c>
      <c r="C434" s="8" t="str">
        <f aca="false">IFERROR(INDEX('Project Classifications'!$B$2:$B$231,MATCH(B434,'Project Classifications'!$A$2:$A$231,0)),"")</f>
        <v>Investigating and Archiving the Scholarly Git Experience</v>
      </c>
      <c r="D434" s="8" t="s">
        <v>1016</v>
      </c>
      <c r="E434" s="8" t="s">
        <v>1017</v>
      </c>
      <c r="F434" s="8" t="s">
        <v>53</v>
      </c>
      <c r="G434" s="8" t="s">
        <v>55</v>
      </c>
      <c r="H434" s="8" t="s">
        <v>56</v>
      </c>
      <c r="I434" s="9" t="n">
        <v>0</v>
      </c>
      <c r="J434" s="8" t="s">
        <v>741</v>
      </c>
    </row>
    <row r="435" customFormat="false" ht="15" hidden="false" customHeight="false" outlineLevel="0" collapsed="false">
      <c r="A435" s="8" t="n">
        <v>3542</v>
      </c>
      <c r="B435" s="8" t="n">
        <v>90</v>
      </c>
      <c r="C435" s="8" t="str">
        <f aca="false">IFERROR(INDEX('Project Classifications'!$B$2:$B$231,MATCH(B435,'Project Classifications'!$A$2:$A$231,0)),"")</f>
        <v>Investigating and Archiving the Scholarly Git Experience</v>
      </c>
      <c r="D435" s="8" t="s">
        <v>1018</v>
      </c>
      <c r="E435" s="8" t="s">
        <v>996</v>
      </c>
      <c r="F435" s="8" t="s">
        <v>71</v>
      </c>
      <c r="G435" s="8" t="s">
        <v>73</v>
      </c>
      <c r="H435" s="8" t="s">
        <v>74</v>
      </c>
      <c r="I435" s="9" t="n">
        <v>0.142857142857143</v>
      </c>
      <c r="J435" s="8" t="s">
        <v>33</v>
      </c>
    </row>
    <row r="436" customFormat="false" ht="15" hidden="false" customHeight="false" outlineLevel="0" collapsed="false">
      <c r="A436" s="8" t="n">
        <v>3543</v>
      </c>
      <c r="B436" s="8" t="n">
        <v>90</v>
      </c>
      <c r="C436" s="8" t="str">
        <f aca="false">IFERROR(INDEX('Project Classifications'!$B$2:$B$231,MATCH(B436,'Project Classifications'!$A$2:$A$231,0)),"")</f>
        <v>Investigating and Archiving the Scholarly Git Experience</v>
      </c>
      <c r="D436" s="8" t="s">
        <v>1019</v>
      </c>
      <c r="E436" s="8" t="s">
        <v>989</v>
      </c>
      <c r="F436" s="8" t="s">
        <v>305</v>
      </c>
      <c r="G436" s="8" t="s">
        <v>307</v>
      </c>
      <c r="H436" s="8" t="s">
        <v>306</v>
      </c>
      <c r="I436" s="9" t="n">
        <v>0</v>
      </c>
      <c r="J436" s="8" t="s">
        <v>33</v>
      </c>
    </row>
    <row r="437" customFormat="false" ht="15" hidden="false" customHeight="false" outlineLevel="0" collapsed="false">
      <c r="A437" s="8" t="n">
        <v>3544</v>
      </c>
      <c r="B437" s="8" t="n">
        <v>90</v>
      </c>
      <c r="C437" s="8" t="str">
        <f aca="false">IFERROR(INDEX('Project Classifications'!$B$2:$B$231,MATCH(B437,'Project Classifications'!$A$2:$A$231,0)),"")</f>
        <v>Investigating and Archiving the Scholarly Git Experience</v>
      </c>
      <c r="D437" s="8" t="s">
        <v>1020</v>
      </c>
      <c r="E437" s="8" t="s">
        <v>1021</v>
      </c>
      <c r="F437" s="8" t="s">
        <v>53</v>
      </c>
      <c r="G437" s="8" t="s">
        <v>55</v>
      </c>
      <c r="H437" s="8" t="s">
        <v>56</v>
      </c>
      <c r="I437" s="9" t="n">
        <v>0</v>
      </c>
      <c r="J437" s="8" t="s">
        <v>741</v>
      </c>
    </row>
    <row r="438" customFormat="false" ht="15" hidden="false" customHeight="false" outlineLevel="0" collapsed="false">
      <c r="A438" s="8" t="n">
        <v>3545</v>
      </c>
      <c r="B438" s="8" t="n">
        <v>90</v>
      </c>
      <c r="C438" s="8" t="str">
        <f aca="false">IFERROR(INDEX('Project Classifications'!$B$2:$B$231,MATCH(B438,'Project Classifications'!$A$2:$A$231,0)),"")</f>
        <v>Investigating and Archiving the Scholarly Git Experience</v>
      </c>
      <c r="D438" s="8" t="s">
        <v>1022</v>
      </c>
      <c r="E438" s="8" t="s">
        <v>1021</v>
      </c>
      <c r="F438" s="8" t="s">
        <v>53</v>
      </c>
      <c r="G438" s="8" t="s">
        <v>55</v>
      </c>
      <c r="H438" s="8" t="s">
        <v>56</v>
      </c>
      <c r="I438" s="9" t="n">
        <v>0</v>
      </c>
      <c r="J438" s="8" t="s">
        <v>741</v>
      </c>
    </row>
    <row r="439" customFormat="false" ht="15" hidden="false" customHeight="false" outlineLevel="0" collapsed="false">
      <c r="A439" s="8" t="n">
        <v>3546</v>
      </c>
      <c r="B439" s="8" t="n">
        <v>91</v>
      </c>
      <c r="C439" s="8" t="str">
        <f aca="false">IFERROR(INDEX('Project Classifications'!$B$2:$B$231,MATCH(B439,'Project Classifications'!$A$2:$A$231,0)),"")</f>
        <v>Data for: Carbon Captured: How Business and Labor Control Climate Politics</v>
      </c>
      <c r="D439" s="8" t="s">
        <v>1023</v>
      </c>
      <c r="E439" s="8" t="s">
        <v>562</v>
      </c>
      <c r="F439" s="8" t="s">
        <v>53</v>
      </c>
      <c r="G439" s="8" t="s">
        <v>55</v>
      </c>
      <c r="H439" s="8" t="s">
        <v>56</v>
      </c>
      <c r="I439" s="9" t="n">
        <v>0.142857142857143</v>
      </c>
      <c r="J439" s="8" t="s">
        <v>33</v>
      </c>
    </row>
    <row r="440" customFormat="false" ht="15" hidden="false" customHeight="false" outlineLevel="0" collapsed="false">
      <c r="A440" s="8" t="n">
        <v>3770</v>
      </c>
      <c r="B440" s="8" t="n">
        <v>91</v>
      </c>
      <c r="C440" s="8" t="str">
        <f aca="false">IFERROR(INDEX('Project Classifications'!$B$2:$B$231,MATCH(B440,'Project Classifications'!$A$2:$A$231,0)),"")</f>
        <v>Data for: Carbon Captured: How Business and Labor Control Climate Politics</v>
      </c>
      <c r="D440" s="8" t="s">
        <v>1024</v>
      </c>
      <c r="E440" s="8" t="s">
        <v>562</v>
      </c>
      <c r="F440" s="8" t="s">
        <v>30</v>
      </c>
      <c r="G440" s="8" t="s">
        <v>32</v>
      </c>
      <c r="H440" s="8" t="s">
        <v>31</v>
      </c>
      <c r="I440" s="9" t="n">
        <v>0.0588235294117647</v>
      </c>
      <c r="J440" s="8" t="s">
        <v>33</v>
      </c>
    </row>
    <row r="441" customFormat="false" ht="15" hidden="false" customHeight="false" outlineLevel="0" collapsed="false">
      <c r="A441" s="8" t="n">
        <v>3771</v>
      </c>
      <c r="B441" s="8" t="n">
        <v>91</v>
      </c>
      <c r="C441" s="8" t="str">
        <f aca="false">IFERROR(INDEX('Project Classifications'!$B$2:$B$231,MATCH(B441,'Project Classifications'!$A$2:$A$231,0)),"")</f>
        <v>Data for: Carbon Captured: How Business and Labor Control Climate Politics</v>
      </c>
      <c r="D441" s="8" t="s">
        <v>1025</v>
      </c>
      <c r="E441" s="8" t="s">
        <v>574</v>
      </c>
      <c r="F441" s="8" t="s">
        <v>179</v>
      </c>
      <c r="G441" s="8" t="s">
        <v>181</v>
      </c>
      <c r="H441" s="8" t="s">
        <v>182</v>
      </c>
      <c r="I441" s="9" t="n">
        <v>0.166666666666667</v>
      </c>
      <c r="J441" s="8" t="s">
        <v>33</v>
      </c>
    </row>
    <row r="442" customFormat="false" ht="15" hidden="false" customHeight="false" outlineLevel="0" collapsed="false">
      <c r="A442" s="8" t="n">
        <v>3773</v>
      </c>
      <c r="B442" s="8" t="n">
        <v>92</v>
      </c>
      <c r="C442" s="8" t="str">
        <f aca="false">IFERROR(INDEX('Project Classifications'!$B$2:$B$231,MATCH(B442,'Project Classifications'!$A$2:$A$231,0)),"")</f>
        <v>Data for: Negotiation of the Use of Medical Contraception: Levers and Obstacles within Married Couple in Benin</v>
      </c>
      <c r="D442" s="8" t="s">
        <v>894</v>
      </c>
      <c r="E442" s="8" t="s">
        <v>562</v>
      </c>
      <c r="F442" s="8" t="s">
        <v>42</v>
      </c>
      <c r="G442" s="8" t="s">
        <v>44</v>
      </c>
      <c r="H442" s="8" t="s">
        <v>45</v>
      </c>
      <c r="I442" s="9" t="n">
        <v>0.111111111111111</v>
      </c>
      <c r="J442" s="8" t="s">
        <v>33</v>
      </c>
    </row>
    <row r="443" customFormat="false" ht="15" hidden="false" customHeight="false" outlineLevel="0" collapsed="false">
      <c r="A443" s="8" t="n">
        <v>3774</v>
      </c>
      <c r="B443" s="8" t="n">
        <v>92</v>
      </c>
      <c r="C443" s="8" t="str">
        <f aca="false">IFERROR(INDEX('Project Classifications'!$B$2:$B$231,MATCH(B443,'Project Classifications'!$A$2:$A$231,0)),"")</f>
        <v>Data for: Negotiation of the Use of Medical Contraception: Levers and Obstacles within Married Couple in Benin</v>
      </c>
      <c r="D443" s="8" t="s">
        <v>895</v>
      </c>
      <c r="E443" s="8" t="s">
        <v>562</v>
      </c>
      <c r="F443" s="8" t="s">
        <v>42</v>
      </c>
      <c r="G443" s="8" t="s">
        <v>44</v>
      </c>
      <c r="H443" s="8" t="s">
        <v>45</v>
      </c>
      <c r="I443" s="9" t="n">
        <v>0.0555555555555556</v>
      </c>
      <c r="J443" s="8" t="s">
        <v>33</v>
      </c>
    </row>
    <row r="444" customFormat="false" ht="15" hidden="false" customHeight="false" outlineLevel="0" collapsed="false">
      <c r="A444" s="8" t="n">
        <v>3775</v>
      </c>
      <c r="B444" s="8" t="n">
        <v>92</v>
      </c>
      <c r="C444" s="8" t="str">
        <f aca="false">IFERROR(INDEX('Project Classifications'!$B$2:$B$231,MATCH(B444,'Project Classifications'!$A$2:$A$231,0)),"")</f>
        <v>Data for: Negotiation of the Use of Medical Contraception: Levers and Obstacles within Married Couple in Benin</v>
      </c>
      <c r="D444" s="8" t="s">
        <v>896</v>
      </c>
      <c r="E444" s="8" t="s">
        <v>562</v>
      </c>
      <c r="F444" s="8" t="s">
        <v>48</v>
      </c>
      <c r="G444" s="8" t="s">
        <v>50</v>
      </c>
      <c r="H444" s="8" t="s">
        <v>49</v>
      </c>
      <c r="I444" s="9" t="n">
        <v>0.25</v>
      </c>
      <c r="J444" s="8" t="s">
        <v>33</v>
      </c>
    </row>
    <row r="445" customFormat="false" ht="15" hidden="false" customHeight="false" outlineLevel="0" collapsed="false">
      <c r="A445" s="8" t="n">
        <v>3776</v>
      </c>
      <c r="B445" s="8" t="n">
        <v>92</v>
      </c>
      <c r="C445" s="8" t="str">
        <f aca="false">IFERROR(INDEX('Project Classifications'!$B$2:$B$231,MATCH(B445,'Project Classifications'!$A$2:$A$231,0)),"")</f>
        <v>Data for: Negotiation of the Use of Medical Contraception: Levers and Obstacles within Married Couple in Benin</v>
      </c>
      <c r="D445" s="8" t="s">
        <v>897</v>
      </c>
      <c r="E445" s="8" t="s">
        <v>574</v>
      </c>
      <c r="F445" s="8" t="s">
        <v>53</v>
      </c>
      <c r="G445" s="8" t="s">
        <v>55</v>
      </c>
      <c r="H445" s="8" t="s">
        <v>56</v>
      </c>
      <c r="I445" s="9" t="n">
        <v>0.285714285714286</v>
      </c>
      <c r="J445" s="8" t="s">
        <v>33</v>
      </c>
    </row>
    <row r="446" customFormat="false" ht="15" hidden="false" customHeight="false" outlineLevel="0" collapsed="false">
      <c r="A446" s="8" t="n">
        <v>3790</v>
      </c>
      <c r="B446" s="8" t="n">
        <v>94</v>
      </c>
      <c r="C446" s="8" t="str">
        <f aca="false">IFERROR(INDEX('Project Classifications'!$B$2:$B$231,MATCH(B446,'Project Classifications'!$A$2:$A$231,0)),"")</f>
        <v>Researching Students’ Information Choices (RSIC): Determining Identity and Judging Credibility in Digital Spaces</v>
      </c>
      <c r="D446" s="8" t="s">
        <v>1026</v>
      </c>
      <c r="E446" s="8" t="s">
        <v>562</v>
      </c>
      <c r="F446" s="8" t="s">
        <v>48</v>
      </c>
      <c r="G446" s="8" t="s">
        <v>50</v>
      </c>
      <c r="H446" s="8" t="s">
        <v>49</v>
      </c>
      <c r="I446" s="9" t="n">
        <v>0.3125</v>
      </c>
      <c r="J446" s="8" t="s">
        <v>33</v>
      </c>
    </row>
    <row r="447" customFormat="false" ht="15" hidden="false" customHeight="false" outlineLevel="0" collapsed="false">
      <c r="A447" s="8" t="n">
        <v>3791</v>
      </c>
      <c r="B447" s="8" t="n">
        <v>94</v>
      </c>
      <c r="C447" s="8" t="str">
        <f aca="false">IFERROR(INDEX('Project Classifications'!$B$2:$B$231,MATCH(B447,'Project Classifications'!$A$2:$A$231,0)),"")</f>
        <v>Researching Students’ Information Choices (RSIC): Determining Identity and Judging Credibility in Digital Spaces</v>
      </c>
      <c r="D447" s="8" t="s">
        <v>1027</v>
      </c>
      <c r="E447" s="8" t="s">
        <v>778</v>
      </c>
      <c r="F447" s="8" t="s">
        <v>48</v>
      </c>
      <c r="G447" s="8" t="s">
        <v>50</v>
      </c>
      <c r="H447" s="8" t="s">
        <v>49</v>
      </c>
      <c r="I447" s="9" t="n">
        <v>0</v>
      </c>
      <c r="J447" s="8" t="s">
        <v>741</v>
      </c>
    </row>
    <row r="448" customFormat="false" ht="15" hidden="false" customHeight="false" outlineLevel="0" collapsed="false">
      <c r="A448" s="8" t="n">
        <v>3875</v>
      </c>
      <c r="B448" s="8" t="n">
        <v>94</v>
      </c>
      <c r="C448" s="8" t="str">
        <f aca="false">IFERROR(INDEX('Project Classifications'!$B$2:$B$231,MATCH(B448,'Project Classifications'!$A$2:$A$231,0)),"")</f>
        <v>Researching Students’ Information Choices (RSIC): Determining Identity and Judging Credibility in Digital Spaces</v>
      </c>
      <c r="D448" s="8" t="s">
        <v>1028</v>
      </c>
      <c r="E448" s="8" t="s">
        <v>562</v>
      </c>
      <c r="F448" s="8" t="s">
        <v>48</v>
      </c>
      <c r="G448" s="8" t="s">
        <v>50</v>
      </c>
      <c r="H448" s="8" t="s">
        <v>49</v>
      </c>
      <c r="I448" s="9" t="n">
        <v>0.1875</v>
      </c>
      <c r="J448" s="8" t="s">
        <v>33</v>
      </c>
    </row>
    <row r="449" customFormat="false" ht="15" hidden="false" customHeight="false" outlineLevel="0" collapsed="false">
      <c r="A449" s="8" t="n">
        <v>3876</v>
      </c>
      <c r="B449" s="8" t="n">
        <v>94</v>
      </c>
      <c r="C449" s="8" t="str">
        <f aca="false">IFERROR(INDEX('Project Classifications'!$B$2:$B$231,MATCH(B449,'Project Classifications'!$A$2:$A$231,0)),"")</f>
        <v>Researching Students’ Information Choices (RSIC): Determining Identity and Judging Credibility in Digital Spaces</v>
      </c>
      <c r="D449" s="8" t="s">
        <v>1029</v>
      </c>
      <c r="E449" s="8" t="s">
        <v>562</v>
      </c>
      <c r="F449" s="8" t="s">
        <v>48</v>
      </c>
      <c r="G449" s="8" t="s">
        <v>50</v>
      </c>
      <c r="H449" s="8" t="s">
        <v>49</v>
      </c>
      <c r="I449" s="9" t="n">
        <v>0.125</v>
      </c>
      <c r="J449" s="8" t="s">
        <v>33</v>
      </c>
    </row>
    <row r="450" customFormat="false" ht="15" hidden="false" customHeight="false" outlineLevel="0" collapsed="false">
      <c r="A450" s="8" t="n">
        <v>3911</v>
      </c>
      <c r="B450" s="8" t="n">
        <v>94</v>
      </c>
      <c r="C450" s="8" t="str">
        <f aca="false">IFERROR(INDEX('Project Classifications'!$B$2:$B$231,MATCH(B450,'Project Classifications'!$A$2:$A$231,0)),"")</f>
        <v>Researching Students’ Information Choices (RSIC): Determining Identity and Judging Credibility in Digital Spaces</v>
      </c>
      <c r="D450" s="8" t="s">
        <v>1030</v>
      </c>
      <c r="E450" s="8" t="s">
        <v>562</v>
      </c>
      <c r="F450" s="8" t="s">
        <v>48</v>
      </c>
      <c r="G450" s="8" t="s">
        <v>50</v>
      </c>
      <c r="H450" s="8" t="s">
        <v>49</v>
      </c>
      <c r="I450" s="9" t="n">
        <v>0.125</v>
      </c>
      <c r="J450" s="8" t="s">
        <v>33</v>
      </c>
    </row>
    <row r="451" customFormat="false" ht="15" hidden="false" customHeight="false" outlineLevel="0" collapsed="false">
      <c r="A451" s="8" t="n">
        <v>3912</v>
      </c>
      <c r="B451" s="8" t="n">
        <v>94</v>
      </c>
      <c r="C451" s="8" t="str">
        <f aca="false">IFERROR(INDEX('Project Classifications'!$B$2:$B$231,MATCH(B451,'Project Classifications'!$A$2:$A$231,0)),"")</f>
        <v>Researching Students’ Information Choices (RSIC): Determining Identity and Judging Credibility in Digital Spaces</v>
      </c>
      <c r="D451" s="8" t="s">
        <v>1031</v>
      </c>
      <c r="E451" s="8" t="s">
        <v>562</v>
      </c>
      <c r="F451" s="8" t="s">
        <v>48</v>
      </c>
      <c r="G451" s="8" t="s">
        <v>50</v>
      </c>
      <c r="H451" s="8" t="s">
        <v>49</v>
      </c>
      <c r="I451" s="9" t="n">
        <v>0.25</v>
      </c>
      <c r="J451" s="8" t="s">
        <v>33</v>
      </c>
    </row>
    <row r="452" customFormat="false" ht="15" hidden="false" customHeight="false" outlineLevel="0" collapsed="false">
      <c r="A452" s="8" t="n">
        <v>3913</v>
      </c>
      <c r="B452" s="8" t="n">
        <v>94</v>
      </c>
      <c r="C452" s="8" t="str">
        <f aca="false">IFERROR(INDEX('Project Classifications'!$B$2:$B$231,MATCH(B452,'Project Classifications'!$A$2:$A$231,0)),"")</f>
        <v>Researching Students’ Information Choices (RSIC): Determining Identity and Judging Credibility in Digital Spaces</v>
      </c>
      <c r="D452" s="8" t="s">
        <v>1032</v>
      </c>
      <c r="E452" s="8" t="s">
        <v>562</v>
      </c>
      <c r="F452" s="8" t="s">
        <v>48</v>
      </c>
      <c r="G452" s="8" t="s">
        <v>50</v>
      </c>
      <c r="H452" s="8" t="s">
        <v>49</v>
      </c>
      <c r="I452" s="9" t="n">
        <v>0.125</v>
      </c>
      <c r="J452" s="8" t="s">
        <v>33</v>
      </c>
    </row>
    <row r="453" customFormat="false" ht="15" hidden="false" customHeight="false" outlineLevel="0" collapsed="false">
      <c r="A453" s="8" t="n">
        <v>3914</v>
      </c>
      <c r="B453" s="8" t="n">
        <v>94</v>
      </c>
      <c r="C453" s="8" t="str">
        <f aca="false">IFERROR(INDEX('Project Classifications'!$B$2:$B$231,MATCH(B453,'Project Classifications'!$A$2:$A$231,0)),"")</f>
        <v>Researching Students’ Information Choices (RSIC): Determining Identity and Judging Credibility in Digital Spaces</v>
      </c>
      <c r="D453" s="8" t="s">
        <v>1033</v>
      </c>
      <c r="E453" s="8" t="s">
        <v>600</v>
      </c>
      <c r="F453" s="8" t="s">
        <v>48</v>
      </c>
      <c r="G453" s="8" t="s">
        <v>50</v>
      </c>
      <c r="H453" s="8" t="s">
        <v>49</v>
      </c>
      <c r="I453" s="9" t="n">
        <v>0.1875</v>
      </c>
      <c r="J453" s="8" t="s">
        <v>33</v>
      </c>
    </row>
    <row r="454" customFormat="false" ht="15" hidden="false" customHeight="false" outlineLevel="0" collapsed="false">
      <c r="A454" s="8" t="n">
        <v>3978</v>
      </c>
      <c r="B454" s="8" t="n">
        <v>94</v>
      </c>
      <c r="C454" s="8" t="str">
        <f aca="false">IFERROR(INDEX('Project Classifications'!$B$2:$B$231,MATCH(B454,'Project Classifications'!$A$2:$A$231,0)),"")</f>
        <v>Researching Students’ Information Choices (RSIC): Determining Identity and Judging Credibility in Digital Spaces</v>
      </c>
      <c r="D454" s="8" t="s">
        <v>1034</v>
      </c>
      <c r="E454" s="8" t="s">
        <v>574</v>
      </c>
      <c r="F454" s="8" t="s">
        <v>48</v>
      </c>
      <c r="G454" s="8" t="s">
        <v>50</v>
      </c>
      <c r="H454" s="8" t="s">
        <v>49</v>
      </c>
      <c r="I454" s="9" t="n">
        <v>0.3125</v>
      </c>
      <c r="J454" s="8" t="s">
        <v>33</v>
      </c>
    </row>
    <row r="455" customFormat="false" ht="15" hidden="false" customHeight="false" outlineLevel="0" collapsed="false">
      <c r="A455" s="8" t="n">
        <v>3979</v>
      </c>
      <c r="B455" s="8" t="n">
        <v>95</v>
      </c>
      <c r="C455" s="8" t="str">
        <f aca="false">IFERROR(INDEX('Project Classifications'!$B$2:$B$231,MATCH(B455,'Project Classifications'!$A$2:$A$231,0)),"")</f>
        <v>Data for: Stay Off My Field: Policing Boundaries in Human Rights and Democracy Promotion</v>
      </c>
      <c r="D455" s="8" t="s">
        <v>653</v>
      </c>
      <c r="E455" s="8" t="s">
        <v>654</v>
      </c>
      <c r="F455" s="8" t="s">
        <v>30</v>
      </c>
      <c r="G455" s="8" t="s">
        <v>32</v>
      </c>
      <c r="H455" s="8" t="s">
        <v>31</v>
      </c>
      <c r="I455" s="9" t="n">
        <v>0.117647058823529</v>
      </c>
      <c r="J455" s="8" t="s">
        <v>33</v>
      </c>
    </row>
    <row r="456" customFormat="false" ht="15" hidden="false" customHeight="false" outlineLevel="0" collapsed="false">
      <c r="A456" s="8" t="n">
        <v>3980</v>
      </c>
      <c r="B456" s="8" t="n">
        <v>95</v>
      </c>
      <c r="C456" s="8" t="str">
        <f aca="false">IFERROR(INDEX('Project Classifications'!$B$2:$B$231,MATCH(B456,'Project Classifications'!$A$2:$A$231,0)),"")</f>
        <v>Data for: Stay Off My Field: Policing Boundaries in Human Rights and Democracy Promotion</v>
      </c>
      <c r="D456" s="8" t="s">
        <v>1035</v>
      </c>
      <c r="E456" s="8" t="s">
        <v>562</v>
      </c>
      <c r="F456" s="8" t="s">
        <v>30</v>
      </c>
      <c r="G456" s="8" t="s">
        <v>32</v>
      </c>
      <c r="H456" s="8" t="s">
        <v>31</v>
      </c>
      <c r="I456" s="9" t="n">
        <v>0.117647058823529</v>
      </c>
      <c r="J456" s="8" t="s">
        <v>33</v>
      </c>
    </row>
    <row r="457" customFormat="false" ht="15" hidden="false" customHeight="false" outlineLevel="0" collapsed="false">
      <c r="A457" s="8" t="n">
        <v>3985</v>
      </c>
      <c r="B457" s="8" t="n">
        <v>95</v>
      </c>
      <c r="C457" s="8" t="str">
        <f aca="false">IFERROR(INDEX('Project Classifications'!$B$2:$B$231,MATCH(B457,'Project Classifications'!$A$2:$A$231,0)),"")</f>
        <v>Data for: Stay Off My Field: Policing Boundaries in Human Rights and Democracy Promotion</v>
      </c>
      <c r="D457" s="8" t="s">
        <v>1036</v>
      </c>
      <c r="E457" s="8" t="s">
        <v>574</v>
      </c>
      <c r="F457" s="8" t="s">
        <v>53</v>
      </c>
      <c r="G457" s="8" t="s">
        <v>55</v>
      </c>
      <c r="H457" s="8" t="s">
        <v>56</v>
      </c>
      <c r="I457" s="9" t="n">
        <v>0.285714285714286</v>
      </c>
      <c r="J457" s="8" t="s">
        <v>33</v>
      </c>
    </row>
    <row r="458" customFormat="false" ht="15" hidden="false" customHeight="false" outlineLevel="0" collapsed="false">
      <c r="A458" s="8" t="n">
        <v>3986</v>
      </c>
      <c r="B458" s="8" t="n">
        <v>96</v>
      </c>
      <c r="C458" s="8" t="str">
        <f aca="false">IFERROR(INDEX('Project Classifications'!$B$2:$B$231,MATCH(B458,'Project Classifications'!$A$2:$A$231,0)),"")</f>
        <v>Data for: “Grassroots bureaucracy: Intergovernmental relations and popular mobilization in Brazil's AIDS policy sector”</v>
      </c>
      <c r="D458" s="8" t="s">
        <v>653</v>
      </c>
      <c r="E458" s="8" t="s">
        <v>654</v>
      </c>
      <c r="F458" s="8" t="s">
        <v>53</v>
      </c>
      <c r="G458" s="8" t="s">
        <v>55</v>
      </c>
      <c r="H458" s="8" t="s">
        <v>56</v>
      </c>
      <c r="I458" s="9" t="n">
        <v>0.142857142857143</v>
      </c>
      <c r="J458" s="8" t="s">
        <v>33</v>
      </c>
    </row>
    <row r="459" customFormat="false" ht="15" hidden="false" customHeight="false" outlineLevel="0" collapsed="false">
      <c r="A459" s="8" t="n">
        <v>3987</v>
      </c>
      <c r="B459" s="8" t="n">
        <v>96</v>
      </c>
      <c r="C459" s="8" t="str">
        <f aca="false">IFERROR(INDEX('Project Classifications'!$B$2:$B$231,MATCH(B459,'Project Classifications'!$A$2:$A$231,0)),"")</f>
        <v>Data for: “Grassroots bureaucracy: Intergovernmental relations and popular mobilization in Brazil's AIDS policy sector”</v>
      </c>
      <c r="D459" s="8" t="s">
        <v>1037</v>
      </c>
      <c r="E459" s="8" t="s">
        <v>574</v>
      </c>
      <c r="F459" s="8" t="s">
        <v>53</v>
      </c>
      <c r="G459" s="8" t="s">
        <v>55</v>
      </c>
      <c r="H459" s="8" t="s">
        <v>56</v>
      </c>
      <c r="I459" s="9" t="n">
        <v>0.285714285714286</v>
      </c>
      <c r="J459" s="8" t="s">
        <v>33</v>
      </c>
    </row>
    <row r="460" customFormat="false" ht="15" hidden="false" customHeight="false" outlineLevel="0" collapsed="false">
      <c r="A460" s="8" t="n">
        <v>3998</v>
      </c>
      <c r="B460" s="8" t="n">
        <v>97</v>
      </c>
      <c r="C460" s="8" t="str">
        <f aca="false">IFERROR(INDEX('Project Classifications'!$B$2:$B$231,MATCH(B460,'Project Classifications'!$A$2:$A$231,0)),"")</f>
        <v>Data for: Healthy Volunteers’ Perceptions of Risk in U.S. Phase I Clinical Trials: A Mixed-methods Study</v>
      </c>
      <c r="D460" s="8" t="s">
        <v>1038</v>
      </c>
      <c r="E460" s="8" t="s">
        <v>562</v>
      </c>
      <c r="F460" s="8" t="s">
        <v>42</v>
      </c>
      <c r="G460" s="8" t="s">
        <v>44</v>
      </c>
      <c r="H460" s="8" t="s">
        <v>45</v>
      </c>
      <c r="I460" s="9" t="n">
        <v>0.222222222222222</v>
      </c>
      <c r="J460" s="8" t="s">
        <v>33</v>
      </c>
    </row>
    <row r="461" customFormat="false" ht="15" hidden="false" customHeight="false" outlineLevel="0" collapsed="false">
      <c r="A461" s="8" t="n">
        <v>3999</v>
      </c>
      <c r="B461" s="8" t="n">
        <v>97</v>
      </c>
      <c r="C461" s="8" t="str">
        <f aca="false">IFERROR(INDEX('Project Classifications'!$B$2:$B$231,MATCH(B461,'Project Classifications'!$A$2:$A$231,0)),"")</f>
        <v>Data for: Healthy Volunteers’ Perceptions of Risk in U.S. Phase I Clinical Trials: A Mixed-methods Study</v>
      </c>
      <c r="D461" s="8" t="s">
        <v>1039</v>
      </c>
      <c r="E461" s="8" t="s">
        <v>562</v>
      </c>
      <c r="F461" s="8" t="s">
        <v>42</v>
      </c>
      <c r="G461" s="8" t="s">
        <v>44</v>
      </c>
      <c r="H461" s="8" t="s">
        <v>45</v>
      </c>
      <c r="I461" s="9" t="n">
        <v>0.166666666666667</v>
      </c>
      <c r="J461" s="8" t="s">
        <v>33</v>
      </c>
    </row>
    <row r="462" customFormat="false" ht="15" hidden="false" customHeight="false" outlineLevel="0" collapsed="false">
      <c r="A462" s="8" t="n">
        <v>4001</v>
      </c>
      <c r="B462" s="8" t="n">
        <v>97</v>
      </c>
      <c r="C462" s="8" t="str">
        <f aca="false">IFERROR(INDEX('Project Classifications'!$B$2:$B$231,MATCH(B462,'Project Classifications'!$A$2:$A$231,0)),"")</f>
        <v>Data for: Healthy Volunteers’ Perceptions of Risk in U.S. Phase I Clinical Trials: A Mixed-methods Study</v>
      </c>
      <c r="D462" s="8" t="s">
        <v>1040</v>
      </c>
      <c r="E462" s="8" t="s">
        <v>574</v>
      </c>
      <c r="F462" s="8" t="s">
        <v>53</v>
      </c>
      <c r="G462" s="8" t="s">
        <v>55</v>
      </c>
      <c r="H462" s="8" t="s">
        <v>56</v>
      </c>
      <c r="I462" s="9" t="n">
        <v>0.285714285714286</v>
      </c>
      <c r="J462" s="8" t="s">
        <v>33</v>
      </c>
    </row>
    <row r="463" customFormat="false" ht="15" hidden="false" customHeight="false" outlineLevel="0" collapsed="false">
      <c r="A463" s="8" t="n">
        <v>4085</v>
      </c>
      <c r="B463" s="8" t="n">
        <v>99</v>
      </c>
      <c r="C463" s="8" t="str">
        <f aca="false">IFERROR(INDEX('Project Classifications'!$B$2:$B$231,MATCH(B463,'Project Classifications'!$A$2:$A$231,0)),"")</f>
        <v>Data for: Pastoralist Decision-making on the Tibetan Plateau</v>
      </c>
      <c r="D463" s="8" t="s">
        <v>653</v>
      </c>
      <c r="E463" s="8" t="s">
        <v>654</v>
      </c>
      <c r="F463" s="8" t="s">
        <v>179</v>
      </c>
      <c r="G463" s="8" t="s">
        <v>181</v>
      </c>
      <c r="H463" s="8" t="s">
        <v>182</v>
      </c>
      <c r="I463" s="9" t="n">
        <v>0.166666666666667</v>
      </c>
      <c r="J463" s="8" t="s">
        <v>33</v>
      </c>
    </row>
    <row r="464" customFormat="false" ht="15" hidden="false" customHeight="false" outlineLevel="0" collapsed="false">
      <c r="A464" s="8" t="n">
        <v>4086</v>
      </c>
      <c r="B464" s="8" t="n">
        <v>99</v>
      </c>
      <c r="C464" s="8" t="str">
        <f aca="false">IFERROR(INDEX('Project Classifications'!$B$2:$B$231,MATCH(B464,'Project Classifications'!$A$2:$A$231,0)),"")</f>
        <v>Data for: Pastoralist Decision-making on the Tibetan Plateau</v>
      </c>
      <c r="D464" s="8" t="s">
        <v>1041</v>
      </c>
      <c r="E464" s="8" t="s">
        <v>574</v>
      </c>
      <c r="F464" s="8" t="s">
        <v>53</v>
      </c>
      <c r="G464" s="8" t="s">
        <v>55</v>
      </c>
      <c r="H464" s="8" t="s">
        <v>56</v>
      </c>
      <c r="I464" s="9" t="n">
        <v>0.285714285714286</v>
      </c>
      <c r="J464" s="8" t="s">
        <v>33</v>
      </c>
    </row>
    <row r="465" customFormat="false" ht="15" hidden="false" customHeight="false" outlineLevel="0" collapsed="false">
      <c r="A465" s="8" t="n">
        <v>4087</v>
      </c>
      <c r="B465" s="8" t="n">
        <v>99</v>
      </c>
      <c r="C465" s="8" t="str">
        <f aca="false">IFERROR(INDEX('Project Classifications'!$B$2:$B$231,MATCH(B465,'Project Classifications'!$A$2:$A$231,0)),"")</f>
        <v>Data for: Pastoralist Decision-making on the Tibetan Plateau</v>
      </c>
      <c r="D465" s="8" t="s">
        <v>1042</v>
      </c>
      <c r="E465" s="8" t="s">
        <v>562</v>
      </c>
      <c r="F465" s="8" t="s">
        <v>179</v>
      </c>
      <c r="G465" s="8" t="s">
        <v>181</v>
      </c>
      <c r="H465" s="8" t="s">
        <v>182</v>
      </c>
      <c r="I465" s="9" t="n">
        <v>0.166666666666667</v>
      </c>
      <c r="J465" s="8" t="s">
        <v>33</v>
      </c>
    </row>
    <row r="466" customFormat="false" ht="15" hidden="false" customHeight="false" outlineLevel="0" collapsed="false">
      <c r="A466" s="8" t="n">
        <v>4094</v>
      </c>
      <c r="B466" s="8" t="n">
        <v>100</v>
      </c>
      <c r="C466" s="8" t="str">
        <f aca="false">IFERROR(INDEX('Project Classifications'!$B$2:$B$231,MATCH(B466,'Project Classifications'!$A$2:$A$231,0)),"")</f>
        <v>Data for: How Pre-Medical Scribing Shapes Medical Student Experience and Professional Identity</v>
      </c>
      <c r="D466" s="8" t="s">
        <v>1043</v>
      </c>
      <c r="E466" s="8" t="s">
        <v>562</v>
      </c>
      <c r="F466" s="8" t="s">
        <v>48</v>
      </c>
      <c r="G466" s="8" t="s">
        <v>50</v>
      </c>
      <c r="H466" s="8" t="s">
        <v>49</v>
      </c>
      <c r="I466" s="9" t="n">
        <v>0.25</v>
      </c>
      <c r="J466" s="8" t="s">
        <v>33</v>
      </c>
    </row>
    <row r="467" customFormat="false" ht="15" hidden="false" customHeight="false" outlineLevel="0" collapsed="false">
      <c r="A467" s="8" t="n">
        <v>4095</v>
      </c>
      <c r="B467" s="8" t="n">
        <v>100</v>
      </c>
      <c r="C467" s="8" t="str">
        <f aca="false">IFERROR(INDEX('Project Classifications'!$B$2:$B$231,MATCH(B467,'Project Classifications'!$A$2:$A$231,0)),"")</f>
        <v>Data for: How Pre-Medical Scribing Shapes Medical Student Experience and Professional Identity</v>
      </c>
      <c r="D467" s="8" t="s">
        <v>1044</v>
      </c>
      <c r="E467" s="8" t="s">
        <v>562</v>
      </c>
      <c r="F467" s="8" t="s">
        <v>48</v>
      </c>
      <c r="G467" s="8" t="s">
        <v>50</v>
      </c>
      <c r="H467" s="8" t="s">
        <v>49</v>
      </c>
      <c r="I467" s="9" t="n">
        <v>0.25</v>
      </c>
      <c r="J467" s="8" t="s">
        <v>33</v>
      </c>
    </row>
    <row r="468" customFormat="false" ht="15" hidden="false" customHeight="false" outlineLevel="0" collapsed="false">
      <c r="A468" s="8" t="n">
        <v>4096</v>
      </c>
      <c r="B468" s="8" t="n">
        <v>100</v>
      </c>
      <c r="C468" s="8" t="str">
        <f aca="false">IFERROR(INDEX('Project Classifications'!$B$2:$B$231,MATCH(B468,'Project Classifications'!$A$2:$A$231,0)),"")</f>
        <v>Data for: How Pre-Medical Scribing Shapes Medical Student Experience and Professional Identity</v>
      </c>
      <c r="D468" s="8" t="s">
        <v>1045</v>
      </c>
      <c r="E468" s="8" t="s">
        <v>562</v>
      </c>
      <c r="F468" s="8" t="s">
        <v>48</v>
      </c>
      <c r="G468" s="8" t="s">
        <v>50</v>
      </c>
      <c r="H468" s="8" t="s">
        <v>49</v>
      </c>
      <c r="I468" s="9" t="n">
        <v>0.375</v>
      </c>
      <c r="J468" s="8" t="s">
        <v>33</v>
      </c>
    </row>
    <row r="469" customFormat="false" ht="15" hidden="false" customHeight="false" outlineLevel="0" collapsed="false">
      <c r="A469" s="8" t="n">
        <v>4097</v>
      </c>
      <c r="B469" s="8" t="n">
        <v>100</v>
      </c>
      <c r="C469" s="8" t="str">
        <f aca="false">IFERROR(INDEX('Project Classifications'!$B$2:$B$231,MATCH(B469,'Project Classifications'!$A$2:$A$231,0)),"")</f>
        <v>Data for: How Pre-Medical Scribing Shapes Medical Student Experience and Professional Identity</v>
      </c>
      <c r="D469" s="8" t="s">
        <v>1046</v>
      </c>
      <c r="E469" s="8" t="s">
        <v>562</v>
      </c>
      <c r="F469" s="8" t="s">
        <v>48</v>
      </c>
      <c r="G469" s="8" t="s">
        <v>50</v>
      </c>
      <c r="H469" s="8" t="s">
        <v>49</v>
      </c>
      <c r="I469" s="9" t="n">
        <v>0.125</v>
      </c>
      <c r="J469" s="8" t="s">
        <v>33</v>
      </c>
    </row>
    <row r="470" customFormat="false" ht="15" hidden="false" customHeight="false" outlineLevel="0" collapsed="false">
      <c r="A470" s="8" t="n">
        <v>4098</v>
      </c>
      <c r="B470" s="8" t="n">
        <v>100</v>
      </c>
      <c r="C470" s="8" t="str">
        <f aca="false">IFERROR(INDEX('Project Classifications'!$B$2:$B$231,MATCH(B470,'Project Classifications'!$A$2:$A$231,0)),"")</f>
        <v>Data for: How Pre-Medical Scribing Shapes Medical Student Experience and Professional Identity</v>
      </c>
      <c r="D470" s="8" t="s">
        <v>1047</v>
      </c>
      <c r="E470" s="8" t="s">
        <v>562</v>
      </c>
      <c r="F470" s="8" t="s">
        <v>48</v>
      </c>
      <c r="G470" s="8" t="s">
        <v>50</v>
      </c>
      <c r="H470" s="8" t="s">
        <v>49</v>
      </c>
      <c r="I470" s="9" t="n">
        <v>0.125</v>
      </c>
      <c r="J470" s="8" t="s">
        <v>33</v>
      </c>
    </row>
    <row r="471" customFormat="false" ht="15" hidden="false" customHeight="false" outlineLevel="0" collapsed="false">
      <c r="A471" s="8" t="n">
        <v>4099</v>
      </c>
      <c r="B471" s="8" t="n">
        <v>100</v>
      </c>
      <c r="C471" s="8" t="str">
        <f aca="false">IFERROR(INDEX('Project Classifications'!$B$2:$B$231,MATCH(B471,'Project Classifications'!$A$2:$A$231,0)),"")</f>
        <v>Data for: How Pre-Medical Scribing Shapes Medical Student Experience and Professional Identity</v>
      </c>
      <c r="D471" s="8" t="s">
        <v>1048</v>
      </c>
      <c r="E471" s="8" t="s">
        <v>778</v>
      </c>
      <c r="F471" s="8" t="s">
        <v>48</v>
      </c>
      <c r="G471" s="8" t="s">
        <v>50</v>
      </c>
      <c r="H471" s="8" t="s">
        <v>49</v>
      </c>
      <c r="I471" s="9" t="n">
        <v>0</v>
      </c>
      <c r="J471" s="8" t="s">
        <v>741</v>
      </c>
    </row>
    <row r="472" customFormat="false" ht="15" hidden="false" customHeight="false" outlineLevel="0" collapsed="false">
      <c r="A472" s="8" t="n">
        <v>4100</v>
      </c>
      <c r="B472" s="8" t="n">
        <v>100</v>
      </c>
      <c r="C472" s="8" t="str">
        <f aca="false">IFERROR(INDEX('Project Classifications'!$B$2:$B$231,MATCH(B472,'Project Classifications'!$A$2:$A$231,0)),"")</f>
        <v>Data for: How Pre-Medical Scribing Shapes Medical Student Experience and Professional Identity</v>
      </c>
      <c r="D472" s="8" t="s">
        <v>1049</v>
      </c>
      <c r="E472" s="8" t="s">
        <v>562</v>
      </c>
      <c r="F472" s="8" t="s">
        <v>48</v>
      </c>
      <c r="G472" s="8" t="s">
        <v>50</v>
      </c>
      <c r="H472" s="8" t="s">
        <v>49</v>
      </c>
      <c r="I472" s="9" t="n">
        <v>0.375</v>
      </c>
      <c r="J472" s="8" t="s">
        <v>33</v>
      </c>
    </row>
    <row r="473" customFormat="false" ht="15" hidden="false" customHeight="false" outlineLevel="0" collapsed="false">
      <c r="A473" s="8" t="n">
        <v>4101</v>
      </c>
      <c r="B473" s="8" t="n">
        <v>100</v>
      </c>
      <c r="C473" s="8" t="str">
        <f aca="false">IFERROR(INDEX('Project Classifications'!$B$2:$B$231,MATCH(B473,'Project Classifications'!$A$2:$A$231,0)),"")</f>
        <v>Data for: How Pre-Medical Scribing Shapes Medical Student Experience and Professional Identity</v>
      </c>
      <c r="D473" s="8" t="s">
        <v>1050</v>
      </c>
      <c r="E473" s="8" t="s">
        <v>562</v>
      </c>
      <c r="F473" s="8" t="s">
        <v>42</v>
      </c>
      <c r="G473" s="8" t="s">
        <v>44</v>
      </c>
      <c r="H473" s="8" t="s">
        <v>45</v>
      </c>
      <c r="I473" s="9" t="n">
        <v>0.222222222222222</v>
      </c>
      <c r="J473" s="8" t="s">
        <v>33</v>
      </c>
    </row>
    <row r="474" customFormat="false" ht="15" hidden="false" customHeight="false" outlineLevel="0" collapsed="false">
      <c r="A474" s="8" t="n">
        <v>4102</v>
      </c>
      <c r="B474" s="8" t="n">
        <v>100</v>
      </c>
      <c r="C474" s="8" t="str">
        <f aca="false">IFERROR(INDEX('Project Classifications'!$B$2:$B$231,MATCH(B474,'Project Classifications'!$A$2:$A$231,0)),"")</f>
        <v>Data for: How Pre-Medical Scribing Shapes Medical Student Experience and Professional Identity</v>
      </c>
      <c r="D474" s="8" t="s">
        <v>1051</v>
      </c>
      <c r="E474" s="8" t="s">
        <v>600</v>
      </c>
      <c r="F474" s="8" t="s">
        <v>42</v>
      </c>
      <c r="G474" s="8" t="s">
        <v>44</v>
      </c>
      <c r="H474" s="8" t="s">
        <v>45</v>
      </c>
      <c r="I474" s="9" t="n">
        <v>0.277777777777778</v>
      </c>
      <c r="J474" s="8" t="s">
        <v>33</v>
      </c>
    </row>
    <row r="475" customFormat="false" ht="15" hidden="false" customHeight="false" outlineLevel="0" collapsed="false">
      <c r="A475" s="8" t="n">
        <v>4103</v>
      </c>
      <c r="B475" s="8" t="n">
        <v>100</v>
      </c>
      <c r="C475" s="8" t="str">
        <f aca="false">IFERROR(INDEX('Project Classifications'!$B$2:$B$231,MATCH(B475,'Project Classifications'!$A$2:$A$231,0)),"")</f>
        <v>Data for: How Pre-Medical Scribing Shapes Medical Student Experience and Professional Identity</v>
      </c>
      <c r="D475" s="8" t="s">
        <v>1052</v>
      </c>
      <c r="E475" s="8" t="s">
        <v>574</v>
      </c>
      <c r="F475" s="8" t="s">
        <v>53</v>
      </c>
      <c r="G475" s="8" t="s">
        <v>55</v>
      </c>
      <c r="H475" s="8" t="s">
        <v>56</v>
      </c>
      <c r="I475" s="9" t="n">
        <v>0.285714285714286</v>
      </c>
      <c r="J475" s="8" t="s">
        <v>33</v>
      </c>
    </row>
    <row r="476" customFormat="false" ht="15" hidden="false" customHeight="false" outlineLevel="0" collapsed="false">
      <c r="A476" s="8" t="n">
        <v>4104</v>
      </c>
      <c r="B476" s="8" t="n">
        <v>101</v>
      </c>
      <c r="C476" s="8" t="str">
        <f aca="false">IFERROR(INDEX('Project Classifications'!$B$2:$B$231,MATCH(B476,'Project Classifications'!$A$2:$A$231,0)),"")</f>
        <v>Data for: 'Does commercialization undermine the benefits of decentralization for local services provision? Evidence from Mexico’s urban water and sanitation sector'</v>
      </c>
      <c r="D476" s="8" t="s">
        <v>653</v>
      </c>
      <c r="E476" s="8" t="s">
        <v>654</v>
      </c>
      <c r="F476" s="8" t="s">
        <v>53</v>
      </c>
      <c r="G476" s="8" t="s">
        <v>55</v>
      </c>
      <c r="H476" s="8" t="s">
        <v>56</v>
      </c>
      <c r="I476" s="9" t="n">
        <v>0.142857142857143</v>
      </c>
      <c r="J476" s="8" t="s">
        <v>33</v>
      </c>
    </row>
    <row r="477" customFormat="false" ht="15" hidden="false" customHeight="false" outlineLevel="0" collapsed="false">
      <c r="A477" s="8" t="n">
        <v>4187</v>
      </c>
      <c r="B477" s="8" t="n">
        <v>101</v>
      </c>
      <c r="C477" s="8" t="str">
        <f aca="false">IFERROR(INDEX('Project Classifications'!$B$2:$B$231,MATCH(B477,'Project Classifications'!$A$2:$A$231,0)),"")</f>
        <v>Data for: 'Does commercialization undermine the benefits of decentralization for local services provision? Evidence from Mexico’s urban water and sanitation sector'</v>
      </c>
      <c r="D477" s="8" t="s">
        <v>1053</v>
      </c>
      <c r="E477" s="8" t="s">
        <v>574</v>
      </c>
      <c r="F477" s="8" t="s">
        <v>53</v>
      </c>
      <c r="G477" s="8" t="s">
        <v>55</v>
      </c>
      <c r="H477" s="8" t="s">
        <v>56</v>
      </c>
      <c r="I477" s="9" t="n">
        <v>0.285714285714286</v>
      </c>
      <c r="J477" s="8" t="s">
        <v>33</v>
      </c>
    </row>
    <row r="478" customFormat="false" ht="15" hidden="false" customHeight="false" outlineLevel="0" collapsed="false">
      <c r="A478" s="8" t="n">
        <v>4189</v>
      </c>
      <c r="B478" s="8" t="n">
        <v>102</v>
      </c>
      <c r="C478" s="8" t="str">
        <f aca="false">IFERROR(INDEX('Project Classifications'!$B$2:$B$231,MATCH(B478,'Project Classifications'!$A$2:$A$231,0)),"")</f>
        <v>Open Innovation in Science for Tele-Emergency Medicine Solutions in Austria</v>
      </c>
      <c r="D478" s="8" t="s">
        <v>1054</v>
      </c>
      <c r="E478" s="8" t="s">
        <v>562</v>
      </c>
      <c r="F478" s="8" t="s">
        <v>42</v>
      </c>
      <c r="G478" s="8" t="s">
        <v>44</v>
      </c>
      <c r="H478" s="8" t="s">
        <v>45</v>
      </c>
      <c r="I478" s="9" t="n">
        <v>0.111111111111111</v>
      </c>
      <c r="J478" s="8" t="s">
        <v>33</v>
      </c>
    </row>
    <row r="479" customFormat="false" ht="15" hidden="false" customHeight="false" outlineLevel="0" collapsed="false">
      <c r="A479" s="8" t="n">
        <v>4190</v>
      </c>
      <c r="B479" s="8" t="n">
        <v>102</v>
      </c>
      <c r="C479" s="8" t="str">
        <f aca="false">IFERROR(INDEX('Project Classifications'!$B$2:$B$231,MATCH(B479,'Project Classifications'!$A$2:$A$231,0)),"")</f>
        <v>Open Innovation in Science for Tele-Emergency Medicine Solutions in Austria</v>
      </c>
      <c r="D479" s="8" t="s">
        <v>1055</v>
      </c>
      <c r="E479" s="8" t="s">
        <v>562</v>
      </c>
      <c r="F479" s="8" t="s">
        <v>42</v>
      </c>
      <c r="G479" s="8" t="s">
        <v>44</v>
      </c>
      <c r="H479" s="8" t="s">
        <v>45</v>
      </c>
      <c r="I479" s="9" t="n">
        <v>0.5</v>
      </c>
      <c r="J479" s="8" t="s">
        <v>33</v>
      </c>
    </row>
    <row r="480" customFormat="false" ht="15" hidden="false" customHeight="false" outlineLevel="0" collapsed="false">
      <c r="A480" s="8" t="n">
        <v>4191</v>
      </c>
      <c r="B480" s="8" t="n">
        <v>102</v>
      </c>
      <c r="C480" s="8" t="str">
        <f aca="false">IFERROR(INDEX('Project Classifications'!$B$2:$B$231,MATCH(B480,'Project Classifications'!$A$2:$A$231,0)),"")</f>
        <v>Open Innovation in Science for Tele-Emergency Medicine Solutions in Austria</v>
      </c>
      <c r="D480" s="8" t="s">
        <v>1056</v>
      </c>
      <c r="E480" s="8" t="s">
        <v>955</v>
      </c>
      <c r="F480" s="8" t="s">
        <v>42</v>
      </c>
      <c r="G480" s="8" t="s">
        <v>44</v>
      </c>
      <c r="H480" s="8" t="s">
        <v>45</v>
      </c>
      <c r="I480" s="9" t="n">
        <v>0.0555555555555556</v>
      </c>
      <c r="J480" s="8" t="s">
        <v>33</v>
      </c>
    </row>
    <row r="481" customFormat="false" ht="15" hidden="false" customHeight="false" outlineLevel="0" collapsed="false">
      <c r="A481" s="8" t="n">
        <v>4194</v>
      </c>
      <c r="B481" s="8" t="n">
        <v>102</v>
      </c>
      <c r="C481" s="8" t="str">
        <f aca="false">IFERROR(INDEX('Project Classifications'!$B$2:$B$231,MATCH(B481,'Project Classifications'!$A$2:$A$231,0)),"")</f>
        <v>Open Innovation in Science for Tele-Emergency Medicine Solutions in Austria</v>
      </c>
      <c r="D481" s="8" t="s">
        <v>1057</v>
      </c>
      <c r="E481" s="8" t="s">
        <v>562</v>
      </c>
      <c r="F481" s="8" t="s">
        <v>42</v>
      </c>
      <c r="G481" s="8" t="s">
        <v>44</v>
      </c>
      <c r="H481" s="8" t="s">
        <v>45</v>
      </c>
      <c r="I481" s="9" t="n">
        <v>0.111111111111111</v>
      </c>
      <c r="J481" s="8" t="s">
        <v>33</v>
      </c>
    </row>
    <row r="482" customFormat="false" ht="15" hidden="false" customHeight="false" outlineLevel="0" collapsed="false">
      <c r="A482" s="8" t="n">
        <v>4195</v>
      </c>
      <c r="B482" s="8" t="n">
        <v>102</v>
      </c>
      <c r="C482" s="8" t="str">
        <f aca="false">IFERROR(INDEX('Project Classifications'!$B$2:$B$231,MATCH(B482,'Project Classifications'!$A$2:$A$231,0)),"")</f>
        <v>Open Innovation in Science for Tele-Emergency Medicine Solutions in Austria</v>
      </c>
      <c r="D482" s="8" t="s">
        <v>1058</v>
      </c>
      <c r="E482" s="8" t="s">
        <v>562</v>
      </c>
      <c r="F482" s="8" t="s">
        <v>42</v>
      </c>
      <c r="G482" s="8" t="s">
        <v>44</v>
      </c>
      <c r="H482" s="8" t="s">
        <v>45</v>
      </c>
      <c r="I482" s="9" t="n">
        <v>0.111111111111111</v>
      </c>
      <c r="J482" s="8" t="s">
        <v>33</v>
      </c>
    </row>
    <row r="483" customFormat="false" ht="15" hidden="false" customHeight="false" outlineLevel="0" collapsed="false">
      <c r="A483" s="8" t="n">
        <v>4196</v>
      </c>
      <c r="B483" s="8" t="n">
        <v>102</v>
      </c>
      <c r="C483" s="8" t="str">
        <f aca="false">IFERROR(INDEX('Project Classifications'!$B$2:$B$231,MATCH(B483,'Project Classifications'!$A$2:$A$231,0)),"")</f>
        <v>Open Innovation in Science for Tele-Emergency Medicine Solutions in Austria</v>
      </c>
      <c r="D483" s="8" t="s">
        <v>1059</v>
      </c>
      <c r="E483" s="8" t="s">
        <v>562</v>
      </c>
      <c r="F483" s="8" t="s">
        <v>42</v>
      </c>
      <c r="G483" s="8" t="s">
        <v>44</v>
      </c>
      <c r="H483" s="8" t="s">
        <v>45</v>
      </c>
      <c r="I483" s="9" t="n">
        <v>0.111111111111111</v>
      </c>
      <c r="J483" s="8" t="s">
        <v>33</v>
      </c>
    </row>
    <row r="484" customFormat="false" ht="15" hidden="false" customHeight="false" outlineLevel="0" collapsed="false">
      <c r="A484" s="8" t="n">
        <v>4199</v>
      </c>
      <c r="B484" s="8" t="n">
        <v>102</v>
      </c>
      <c r="C484" s="8" t="str">
        <f aca="false">IFERROR(INDEX('Project Classifications'!$B$2:$B$231,MATCH(B484,'Project Classifications'!$A$2:$A$231,0)),"")</f>
        <v>Open Innovation in Science for Tele-Emergency Medicine Solutions in Austria</v>
      </c>
      <c r="D484" s="8" t="s">
        <v>1060</v>
      </c>
      <c r="E484" s="8" t="s">
        <v>562</v>
      </c>
      <c r="F484" s="8" t="s">
        <v>42</v>
      </c>
      <c r="G484" s="8" t="s">
        <v>44</v>
      </c>
      <c r="H484" s="8" t="s">
        <v>45</v>
      </c>
      <c r="I484" s="9" t="n">
        <v>0.0555555555555556</v>
      </c>
      <c r="J484" s="8" t="s">
        <v>33</v>
      </c>
    </row>
    <row r="485" customFormat="false" ht="15" hidden="false" customHeight="false" outlineLevel="0" collapsed="false">
      <c r="A485" s="8" t="n">
        <v>4200</v>
      </c>
      <c r="B485" s="8" t="n">
        <v>102</v>
      </c>
      <c r="C485" s="8" t="str">
        <f aca="false">IFERROR(INDEX('Project Classifications'!$B$2:$B$231,MATCH(B485,'Project Classifications'!$A$2:$A$231,0)),"")</f>
        <v>Open Innovation in Science for Tele-Emergency Medicine Solutions in Austria</v>
      </c>
      <c r="D485" s="8" t="s">
        <v>1061</v>
      </c>
      <c r="E485" s="8" t="s">
        <v>562</v>
      </c>
      <c r="F485" s="8" t="s">
        <v>42</v>
      </c>
      <c r="G485" s="8" t="s">
        <v>44</v>
      </c>
      <c r="H485" s="8" t="s">
        <v>45</v>
      </c>
      <c r="I485" s="9" t="n">
        <v>0.222222222222222</v>
      </c>
      <c r="J485" s="8" t="s">
        <v>33</v>
      </c>
    </row>
    <row r="486" customFormat="false" ht="15" hidden="false" customHeight="false" outlineLevel="0" collapsed="false">
      <c r="A486" s="8" t="n">
        <v>4201</v>
      </c>
      <c r="B486" s="8" t="n">
        <v>102</v>
      </c>
      <c r="C486" s="8" t="str">
        <f aca="false">IFERROR(INDEX('Project Classifications'!$B$2:$B$231,MATCH(B486,'Project Classifications'!$A$2:$A$231,0)),"")</f>
        <v>Open Innovation in Science for Tele-Emergency Medicine Solutions in Austria</v>
      </c>
      <c r="D486" s="8" t="s">
        <v>1062</v>
      </c>
      <c r="E486" s="8" t="s">
        <v>574</v>
      </c>
      <c r="F486" s="8" t="s">
        <v>42</v>
      </c>
      <c r="G486" s="8" t="s">
        <v>44</v>
      </c>
      <c r="H486" s="8" t="s">
        <v>45</v>
      </c>
      <c r="I486" s="9" t="n">
        <v>0.222222222222222</v>
      </c>
      <c r="J486" s="8" t="s">
        <v>33</v>
      </c>
    </row>
    <row r="487" customFormat="false" ht="15" hidden="false" customHeight="false" outlineLevel="0" collapsed="false">
      <c r="A487" s="8" t="n">
        <v>4204</v>
      </c>
      <c r="B487" s="8" t="n">
        <v>103</v>
      </c>
      <c r="C487" s="8" t="str">
        <f aca="false">IFERROR(INDEX('Project Classifications'!$B$2:$B$231,MATCH(B487,'Project Classifications'!$A$2:$A$231,0)),"")</f>
        <v>Data for: Adapting a Selective Parent-Focused Child Sexual Abuse Prevention Curriculum for a Universal Audience: A Pilot Study</v>
      </c>
      <c r="D487" s="8" t="s">
        <v>1063</v>
      </c>
      <c r="E487" s="8" t="s">
        <v>562</v>
      </c>
      <c r="F487" s="8" t="s">
        <v>48</v>
      </c>
      <c r="G487" s="8" t="s">
        <v>50</v>
      </c>
      <c r="H487" s="8" t="s">
        <v>49</v>
      </c>
      <c r="I487" s="9" t="n">
        <v>0.125</v>
      </c>
      <c r="J487" s="8" t="s">
        <v>33</v>
      </c>
    </row>
    <row r="488" customFormat="false" ht="15" hidden="false" customHeight="false" outlineLevel="0" collapsed="false">
      <c r="A488" s="8" t="n">
        <v>4205</v>
      </c>
      <c r="B488" s="8" t="n">
        <v>103</v>
      </c>
      <c r="C488" s="8" t="str">
        <f aca="false">IFERROR(INDEX('Project Classifications'!$B$2:$B$231,MATCH(B488,'Project Classifications'!$A$2:$A$231,0)),"")</f>
        <v>Data for: Adapting a Selective Parent-Focused Child Sexual Abuse Prevention Curriculum for a Universal Audience: A Pilot Study</v>
      </c>
      <c r="D488" s="8" t="s">
        <v>1064</v>
      </c>
      <c r="E488" s="8" t="s">
        <v>562</v>
      </c>
      <c r="F488" s="8" t="s">
        <v>48</v>
      </c>
      <c r="G488" s="8" t="s">
        <v>50</v>
      </c>
      <c r="H488" s="8" t="s">
        <v>49</v>
      </c>
      <c r="I488" s="9" t="n">
        <v>0.1875</v>
      </c>
      <c r="J488" s="8" t="s">
        <v>33</v>
      </c>
    </row>
    <row r="489" customFormat="false" ht="15" hidden="false" customHeight="false" outlineLevel="0" collapsed="false">
      <c r="A489" s="8" t="n">
        <v>4206</v>
      </c>
      <c r="B489" s="8" t="n">
        <v>103</v>
      </c>
      <c r="C489" s="8" t="str">
        <f aca="false">IFERROR(INDEX('Project Classifications'!$B$2:$B$231,MATCH(B489,'Project Classifications'!$A$2:$A$231,0)),"")</f>
        <v>Data for: Adapting a Selective Parent-Focused Child Sexual Abuse Prevention Curriculum for a Universal Audience: A Pilot Study</v>
      </c>
      <c r="D489" s="8" t="s">
        <v>1065</v>
      </c>
      <c r="E489" s="8" t="s">
        <v>562</v>
      </c>
      <c r="F489" s="8" t="s">
        <v>48</v>
      </c>
      <c r="G489" s="8" t="s">
        <v>50</v>
      </c>
      <c r="H489" s="8" t="s">
        <v>49</v>
      </c>
      <c r="I489" s="9" t="n">
        <v>0.125</v>
      </c>
      <c r="J489" s="8" t="s">
        <v>33</v>
      </c>
    </row>
    <row r="490" customFormat="false" ht="15" hidden="false" customHeight="false" outlineLevel="0" collapsed="false">
      <c r="A490" s="8" t="n">
        <v>4208</v>
      </c>
      <c r="B490" s="8" t="n">
        <v>103</v>
      </c>
      <c r="C490" s="8" t="str">
        <f aca="false">IFERROR(INDEX('Project Classifications'!$B$2:$B$231,MATCH(B490,'Project Classifications'!$A$2:$A$231,0)),"")</f>
        <v>Data for: Adapting a Selective Parent-Focused Child Sexual Abuse Prevention Curriculum for a Universal Audience: A Pilot Study</v>
      </c>
      <c r="D490" s="8" t="s">
        <v>1066</v>
      </c>
      <c r="E490" s="8" t="s">
        <v>562</v>
      </c>
      <c r="F490" s="8" t="s">
        <v>48</v>
      </c>
      <c r="G490" s="8" t="s">
        <v>50</v>
      </c>
      <c r="H490" s="8" t="s">
        <v>49</v>
      </c>
      <c r="I490" s="9" t="n">
        <v>0.0625</v>
      </c>
      <c r="J490" s="8" t="s">
        <v>33</v>
      </c>
    </row>
    <row r="491" customFormat="false" ht="15" hidden="false" customHeight="false" outlineLevel="0" collapsed="false">
      <c r="A491" s="8" t="n">
        <v>4209</v>
      </c>
      <c r="B491" s="8" t="n">
        <v>103</v>
      </c>
      <c r="C491" s="8" t="str">
        <f aca="false">IFERROR(INDEX('Project Classifications'!$B$2:$B$231,MATCH(B491,'Project Classifications'!$A$2:$A$231,0)),"")</f>
        <v>Data for: Adapting a Selective Parent-Focused Child Sexual Abuse Prevention Curriculum for a Universal Audience: A Pilot Study</v>
      </c>
      <c r="D491" s="8" t="s">
        <v>1067</v>
      </c>
      <c r="E491" s="8" t="s">
        <v>562</v>
      </c>
      <c r="F491" s="8" t="s">
        <v>117</v>
      </c>
      <c r="G491" s="8" t="s">
        <v>1068</v>
      </c>
      <c r="H491" s="8" t="s">
        <v>1069</v>
      </c>
      <c r="I491" s="9" t="n">
        <v>0.333333333333333</v>
      </c>
      <c r="J491" s="8" t="s">
        <v>33</v>
      </c>
    </row>
    <row r="492" customFormat="false" ht="15" hidden="false" customHeight="false" outlineLevel="0" collapsed="false">
      <c r="A492" s="8" t="n">
        <v>4210</v>
      </c>
      <c r="B492" s="8" t="n">
        <v>103</v>
      </c>
      <c r="C492" s="8" t="str">
        <f aca="false">IFERROR(INDEX('Project Classifications'!$B$2:$B$231,MATCH(B492,'Project Classifications'!$A$2:$A$231,0)),"")</f>
        <v>Data for: Adapting a Selective Parent-Focused Child Sexual Abuse Prevention Curriculum for a Universal Audience: A Pilot Study</v>
      </c>
      <c r="D492" s="8" t="s">
        <v>1070</v>
      </c>
      <c r="E492" s="8" t="s">
        <v>562</v>
      </c>
      <c r="F492" s="8" t="s">
        <v>48</v>
      </c>
      <c r="G492" s="8" t="s">
        <v>50</v>
      </c>
      <c r="H492" s="8" t="s">
        <v>49</v>
      </c>
      <c r="I492" s="9" t="n">
        <v>0.125</v>
      </c>
      <c r="J492" s="8" t="s">
        <v>33</v>
      </c>
    </row>
    <row r="493" customFormat="false" ht="15" hidden="false" customHeight="false" outlineLevel="0" collapsed="false">
      <c r="A493" s="8" t="n">
        <v>4211</v>
      </c>
      <c r="B493" s="8" t="n">
        <v>103</v>
      </c>
      <c r="C493" s="8" t="str">
        <f aca="false">IFERROR(INDEX('Project Classifications'!$B$2:$B$231,MATCH(B493,'Project Classifications'!$A$2:$A$231,0)),"")</f>
        <v>Data for: Adapting a Selective Parent-Focused Child Sexual Abuse Prevention Curriculum for a Universal Audience: A Pilot Study</v>
      </c>
      <c r="D493" s="8" t="s">
        <v>1071</v>
      </c>
      <c r="E493" s="8" t="s">
        <v>562</v>
      </c>
      <c r="F493" s="8" t="s">
        <v>48</v>
      </c>
      <c r="G493" s="8" t="s">
        <v>50</v>
      </c>
      <c r="H493" s="8" t="s">
        <v>49</v>
      </c>
      <c r="I493" s="9" t="n">
        <v>0.125</v>
      </c>
      <c r="J493" s="8" t="s">
        <v>33</v>
      </c>
    </row>
    <row r="494" customFormat="false" ht="15" hidden="false" customHeight="false" outlineLevel="0" collapsed="false">
      <c r="A494" s="8" t="n">
        <v>4212</v>
      </c>
      <c r="B494" s="8" t="n">
        <v>103</v>
      </c>
      <c r="C494" s="8" t="str">
        <f aca="false">IFERROR(INDEX('Project Classifications'!$B$2:$B$231,MATCH(B494,'Project Classifications'!$A$2:$A$231,0)),"")</f>
        <v>Data for: Adapting a Selective Parent-Focused Child Sexual Abuse Prevention Curriculum for a Universal Audience: A Pilot Study</v>
      </c>
      <c r="D494" s="8" t="s">
        <v>1072</v>
      </c>
      <c r="E494" s="8" t="s">
        <v>562</v>
      </c>
      <c r="F494" s="8" t="s">
        <v>48</v>
      </c>
      <c r="G494" s="8" t="s">
        <v>50</v>
      </c>
      <c r="H494" s="8" t="s">
        <v>49</v>
      </c>
      <c r="I494" s="9" t="n">
        <v>0.0625</v>
      </c>
      <c r="J494" s="8" t="s">
        <v>33</v>
      </c>
    </row>
    <row r="495" customFormat="false" ht="15" hidden="false" customHeight="false" outlineLevel="0" collapsed="false">
      <c r="A495" s="8" t="n">
        <v>4214</v>
      </c>
      <c r="B495" s="8" t="n">
        <v>103</v>
      </c>
      <c r="C495" s="8" t="str">
        <f aca="false">IFERROR(INDEX('Project Classifications'!$B$2:$B$231,MATCH(B495,'Project Classifications'!$A$2:$A$231,0)),"")</f>
        <v>Data for: Adapting a Selective Parent-Focused Child Sexual Abuse Prevention Curriculum for a Universal Audience: A Pilot Study</v>
      </c>
      <c r="D495" s="8" t="s">
        <v>1073</v>
      </c>
      <c r="E495" s="8" t="s">
        <v>574</v>
      </c>
      <c r="F495" s="8" t="s">
        <v>48</v>
      </c>
      <c r="G495" s="8" t="s">
        <v>50</v>
      </c>
      <c r="H495" s="8" t="s">
        <v>49</v>
      </c>
      <c r="I495" s="9" t="n">
        <v>0.1875</v>
      </c>
      <c r="J495" s="8" t="s">
        <v>33</v>
      </c>
    </row>
    <row r="496" customFormat="false" ht="15" hidden="false" customHeight="false" outlineLevel="0" collapsed="false">
      <c r="A496" s="8" t="n">
        <v>4215</v>
      </c>
      <c r="B496" s="8" t="n">
        <v>104</v>
      </c>
      <c r="C496" s="8" t="str">
        <f aca="false">IFERROR(INDEX('Project Classifications'!$B$2:$B$231,MATCH(B496,'Project Classifications'!$A$2:$A$231,0)),"")</f>
        <v>Mixed-methods Approach to Flood Hydrology in Ungauged Catchments</v>
      </c>
      <c r="D496" s="8" t="s">
        <v>1074</v>
      </c>
      <c r="E496" s="8" t="s">
        <v>562</v>
      </c>
      <c r="F496" s="8" t="s">
        <v>71</v>
      </c>
      <c r="G496" s="8" t="s">
        <v>73</v>
      </c>
      <c r="H496" s="8" t="s">
        <v>74</v>
      </c>
      <c r="I496" s="9" t="n">
        <v>0.0714285714285714</v>
      </c>
      <c r="J496" s="8" t="s">
        <v>33</v>
      </c>
    </row>
    <row r="497" customFormat="false" ht="15" hidden="false" customHeight="false" outlineLevel="0" collapsed="false">
      <c r="A497" s="8" t="n">
        <v>4217</v>
      </c>
      <c r="B497" s="8" t="n">
        <v>104</v>
      </c>
      <c r="C497" s="8" t="str">
        <f aca="false">IFERROR(INDEX('Project Classifications'!$B$2:$B$231,MATCH(B497,'Project Classifications'!$A$2:$A$231,0)),"")</f>
        <v>Mixed-methods Approach to Flood Hydrology in Ungauged Catchments</v>
      </c>
      <c r="D497" s="8" t="s">
        <v>1075</v>
      </c>
      <c r="E497" s="8" t="s">
        <v>562</v>
      </c>
      <c r="F497" s="8" t="s">
        <v>305</v>
      </c>
      <c r="G497" s="8" t="s">
        <v>307</v>
      </c>
      <c r="H497" s="8" t="s">
        <v>306</v>
      </c>
      <c r="I497" s="9" t="n">
        <v>0</v>
      </c>
      <c r="J497" s="8" t="s">
        <v>33</v>
      </c>
    </row>
    <row r="498" customFormat="false" ht="15" hidden="false" customHeight="false" outlineLevel="0" collapsed="false">
      <c r="A498" s="8" t="n">
        <v>4218</v>
      </c>
      <c r="B498" s="8" t="n">
        <v>104</v>
      </c>
      <c r="C498" s="8" t="str">
        <f aca="false">IFERROR(INDEX('Project Classifications'!$B$2:$B$231,MATCH(B498,'Project Classifications'!$A$2:$A$231,0)),"")</f>
        <v>Mixed-methods Approach to Flood Hydrology in Ungauged Catchments</v>
      </c>
      <c r="D498" s="8" t="s">
        <v>1076</v>
      </c>
      <c r="E498" s="8" t="s">
        <v>562</v>
      </c>
      <c r="F498" s="8" t="s">
        <v>48</v>
      </c>
      <c r="G498" s="8" t="s">
        <v>50</v>
      </c>
      <c r="H498" s="8" t="s">
        <v>49</v>
      </c>
      <c r="I498" s="9" t="n">
        <v>0.0625</v>
      </c>
      <c r="J498" s="8" t="s">
        <v>33</v>
      </c>
    </row>
    <row r="499" customFormat="false" ht="15" hidden="false" customHeight="false" outlineLevel="0" collapsed="false">
      <c r="A499" s="8" t="n">
        <v>4255</v>
      </c>
      <c r="B499" s="8" t="n">
        <v>104</v>
      </c>
      <c r="C499" s="8" t="str">
        <f aca="false">IFERROR(INDEX('Project Classifications'!$B$2:$B$231,MATCH(B499,'Project Classifications'!$A$2:$A$231,0)),"")</f>
        <v>Mixed-methods Approach to Flood Hydrology in Ungauged Catchments</v>
      </c>
      <c r="D499" s="8" t="s">
        <v>1077</v>
      </c>
      <c r="E499" s="8" t="s">
        <v>574</v>
      </c>
      <c r="F499" s="8" t="s">
        <v>53</v>
      </c>
      <c r="G499" s="8" t="s">
        <v>55</v>
      </c>
      <c r="H499" s="8" t="s">
        <v>56</v>
      </c>
      <c r="I499" s="9" t="n">
        <v>0.142857142857143</v>
      </c>
      <c r="J499" s="8" t="s">
        <v>33</v>
      </c>
    </row>
    <row r="500" customFormat="false" ht="15" hidden="false" customHeight="false" outlineLevel="0" collapsed="false">
      <c r="A500" s="8" t="n">
        <v>4256</v>
      </c>
      <c r="B500" s="8" t="n">
        <v>105</v>
      </c>
      <c r="C500" s="8" t="str">
        <f aca="false">IFERROR(INDEX('Project Classifications'!$B$2:$B$231,MATCH(B500,'Project Classifications'!$A$2:$A$231,0)),"")</f>
        <v>Data for: Synthesis of Findings from the Literature and a Qualitative Research Study on the Impacts of Gender, Disability, and Ethnicity in Neglected Tropical Diseases Programs</v>
      </c>
      <c r="D500" s="8" t="s">
        <v>1078</v>
      </c>
      <c r="E500" s="8" t="s">
        <v>562</v>
      </c>
      <c r="F500" s="8" t="s">
        <v>42</v>
      </c>
      <c r="G500" s="8" t="s">
        <v>44</v>
      </c>
      <c r="H500" s="8" t="s">
        <v>45</v>
      </c>
      <c r="I500" s="9" t="n">
        <v>0.166666666666667</v>
      </c>
      <c r="J500" s="8" t="s">
        <v>33</v>
      </c>
    </row>
    <row r="501" customFormat="false" ht="15" hidden="false" customHeight="false" outlineLevel="0" collapsed="false">
      <c r="A501" s="8" t="n">
        <v>4259</v>
      </c>
      <c r="B501" s="8" t="n">
        <v>105</v>
      </c>
      <c r="C501" s="8" t="str">
        <f aca="false">IFERROR(INDEX('Project Classifications'!$B$2:$B$231,MATCH(B501,'Project Classifications'!$A$2:$A$231,0)),"")</f>
        <v>Data for: Synthesis of Findings from the Literature and a Qualitative Research Study on the Impacts of Gender, Disability, and Ethnicity in Neglected Tropical Diseases Programs</v>
      </c>
      <c r="D501" s="8" t="s">
        <v>1079</v>
      </c>
      <c r="E501" s="8" t="s">
        <v>562</v>
      </c>
      <c r="F501" s="8" t="s">
        <v>71</v>
      </c>
      <c r="G501" s="8" t="s">
        <v>73</v>
      </c>
      <c r="H501" s="8" t="s">
        <v>74</v>
      </c>
      <c r="I501" s="9" t="n">
        <v>0.142857142857143</v>
      </c>
      <c r="J501" s="8" t="s">
        <v>33</v>
      </c>
    </row>
    <row r="502" customFormat="false" ht="15" hidden="false" customHeight="false" outlineLevel="0" collapsed="false">
      <c r="A502" s="8" t="n">
        <v>4282</v>
      </c>
      <c r="B502" s="8" t="n">
        <v>105</v>
      </c>
      <c r="C502" s="8" t="str">
        <f aca="false">IFERROR(INDEX('Project Classifications'!$B$2:$B$231,MATCH(B502,'Project Classifications'!$A$2:$A$231,0)),"")</f>
        <v>Data for: Synthesis of Findings from the Literature and a Qualitative Research Study on the Impacts of Gender, Disability, and Ethnicity in Neglected Tropical Diseases Programs</v>
      </c>
      <c r="D502" s="8" t="s">
        <v>1080</v>
      </c>
      <c r="E502" s="8" t="s">
        <v>562</v>
      </c>
      <c r="F502" s="8" t="s">
        <v>42</v>
      </c>
      <c r="G502" s="8" t="s">
        <v>44</v>
      </c>
      <c r="H502" s="8" t="s">
        <v>45</v>
      </c>
      <c r="I502" s="9" t="n">
        <v>0.111111111111111</v>
      </c>
      <c r="J502" s="8" t="s">
        <v>33</v>
      </c>
    </row>
    <row r="503" customFormat="false" ht="15" hidden="false" customHeight="false" outlineLevel="0" collapsed="false">
      <c r="A503" s="8" t="n">
        <v>4283</v>
      </c>
      <c r="B503" s="8" t="n">
        <v>105</v>
      </c>
      <c r="C503" s="8" t="str">
        <f aca="false">IFERROR(INDEX('Project Classifications'!$B$2:$B$231,MATCH(B503,'Project Classifications'!$A$2:$A$231,0)),"")</f>
        <v>Data for: Synthesis of Findings from the Literature and a Qualitative Research Study on the Impacts of Gender, Disability, and Ethnicity in Neglected Tropical Diseases Programs</v>
      </c>
      <c r="D503" s="8" t="s">
        <v>1081</v>
      </c>
      <c r="E503" s="8" t="s">
        <v>562</v>
      </c>
      <c r="F503" s="8" t="s">
        <v>42</v>
      </c>
      <c r="G503" s="8" t="s">
        <v>44</v>
      </c>
      <c r="H503" s="8" t="s">
        <v>45</v>
      </c>
      <c r="I503" s="9" t="n">
        <v>0.111111111111111</v>
      </c>
      <c r="J503" s="8" t="s">
        <v>33</v>
      </c>
    </row>
    <row r="504" customFormat="false" ht="15" hidden="false" customHeight="false" outlineLevel="0" collapsed="false">
      <c r="A504" s="8" t="n">
        <v>4284</v>
      </c>
      <c r="B504" s="8" t="n">
        <v>105</v>
      </c>
      <c r="C504" s="8" t="str">
        <f aca="false">IFERROR(INDEX('Project Classifications'!$B$2:$B$231,MATCH(B504,'Project Classifications'!$A$2:$A$231,0)),"")</f>
        <v>Data for: Synthesis of Findings from the Literature and a Qualitative Research Study on the Impacts of Gender, Disability, and Ethnicity in Neglected Tropical Diseases Programs</v>
      </c>
      <c r="D504" s="8" t="s">
        <v>1082</v>
      </c>
      <c r="E504" s="8" t="s">
        <v>562</v>
      </c>
      <c r="F504" s="8" t="s">
        <v>42</v>
      </c>
      <c r="G504" s="8" t="s">
        <v>44</v>
      </c>
      <c r="H504" s="8" t="s">
        <v>45</v>
      </c>
      <c r="I504" s="9" t="n">
        <v>0.111111111111111</v>
      </c>
      <c r="J504" s="8" t="s">
        <v>33</v>
      </c>
    </row>
    <row r="505" customFormat="false" ht="15" hidden="false" customHeight="false" outlineLevel="0" collapsed="false">
      <c r="A505" s="8" t="n">
        <v>4285</v>
      </c>
      <c r="B505" s="8" t="n">
        <v>105</v>
      </c>
      <c r="C505" s="8" t="str">
        <f aca="false">IFERROR(INDEX('Project Classifications'!$B$2:$B$231,MATCH(B505,'Project Classifications'!$A$2:$A$231,0)),"")</f>
        <v>Data for: Synthesis of Findings from the Literature and a Qualitative Research Study on the Impacts of Gender, Disability, and Ethnicity in Neglected Tropical Diseases Programs</v>
      </c>
      <c r="D505" s="8" t="s">
        <v>1083</v>
      </c>
      <c r="E505" s="8" t="s">
        <v>562</v>
      </c>
      <c r="F505" s="8" t="s">
        <v>42</v>
      </c>
      <c r="G505" s="8" t="s">
        <v>44</v>
      </c>
      <c r="H505" s="8" t="s">
        <v>45</v>
      </c>
      <c r="I505" s="9" t="n">
        <v>0.111111111111111</v>
      </c>
      <c r="J505" s="8" t="s">
        <v>33</v>
      </c>
    </row>
    <row r="506" customFormat="false" ht="15" hidden="false" customHeight="false" outlineLevel="0" collapsed="false">
      <c r="A506" s="8" t="n">
        <v>4286</v>
      </c>
      <c r="B506" s="8" t="n">
        <v>105</v>
      </c>
      <c r="C506" s="8" t="str">
        <f aca="false">IFERROR(INDEX('Project Classifications'!$B$2:$B$231,MATCH(B506,'Project Classifications'!$A$2:$A$231,0)),"")</f>
        <v>Data for: Synthesis of Findings from the Literature and a Qualitative Research Study on the Impacts of Gender, Disability, and Ethnicity in Neglected Tropical Diseases Programs</v>
      </c>
      <c r="D506" s="8" t="s">
        <v>1084</v>
      </c>
      <c r="E506" s="8" t="s">
        <v>562</v>
      </c>
      <c r="F506" s="8" t="s">
        <v>42</v>
      </c>
      <c r="G506" s="8" t="s">
        <v>44</v>
      </c>
      <c r="H506" s="8" t="s">
        <v>45</v>
      </c>
      <c r="I506" s="9" t="n">
        <v>0.111111111111111</v>
      </c>
      <c r="J506" s="8" t="s">
        <v>33</v>
      </c>
    </row>
    <row r="507" customFormat="false" ht="15" hidden="false" customHeight="false" outlineLevel="0" collapsed="false">
      <c r="A507" s="8" t="n">
        <v>4287</v>
      </c>
      <c r="B507" s="8" t="n">
        <v>105</v>
      </c>
      <c r="C507" s="8" t="str">
        <f aca="false">IFERROR(INDEX('Project Classifications'!$B$2:$B$231,MATCH(B507,'Project Classifications'!$A$2:$A$231,0)),"")</f>
        <v>Data for: Synthesis of Findings from the Literature and a Qualitative Research Study on the Impacts of Gender, Disability, and Ethnicity in Neglected Tropical Diseases Programs</v>
      </c>
      <c r="D507" s="8" t="s">
        <v>1085</v>
      </c>
      <c r="E507" s="8" t="s">
        <v>574</v>
      </c>
      <c r="F507" s="8" t="s">
        <v>53</v>
      </c>
      <c r="G507" s="8" t="s">
        <v>55</v>
      </c>
      <c r="H507" s="8" t="s">
        <v>56</v>
      </c>
      <c r="I507" s="9" t="n">
        <v>0.285714285714286</v>
      </c>
      <c r="J507" s="8" t="s">
        <v>33</v>
      </c>
    </row>
    <row r="508" customFormat="false" ht="15" hidden="false" customHeight="false" outlineLevel="0" collapsed="false">
      <c r="A508" s="8" t="n">
        <v>4318</v>
      </c>
      <c r="B508" s="8" t="n">
        <v>107</v>
      </c>
      <c r="C508" s="8" t="str">
        <f aca="false">IFERROR(INDEX('Project Classifications'!$B$2:$B$231,MATCH(B508,'Project Classifications'!$A$2:$A$231,0)),"")</f>
        <v>Data for: Making Sense of Human Rights Diplomacy: Evidence from a US Campaign to Free Political Prisoners</v>
      </c>
      <c r="D508" s="8" t="s">
        <v>653</v>
      </c>
      <c r="E508" s="8" t="s">
        <v>654</v>
      </c>
      <c r="F508" s="8" t="s">
        <v>53</v>
      </c>
      <c r="G508" s="8" t="s">
        <v>55</v>
      </c>
      <c r="H508" s="8" t="s">
        <v>56</v>
      </c>
      <c r="I508" s="9" t="n">
        <v>0.142857142857143</v>
      </c>
      <c r="J508" s="8" t="s">
        <v>33</v>
      </c>
    </row>
    <row r="509" customFormat="false" ht="15" hidden="false" customHeight="false" outlineLevel="0" collapsed="false">
      <c r="A509" s="8" t="n">
        <v>4319</v>
      </c>
      <c r="B509" s="8" t="n">
        <v>107</v>
      </c>
      <c r="C509" s="8" t="str">
        <f aca="false">IFERROR(INDEX('Project Classifications'!$B$2:$B$231,MATCH(B509,'Project Classifications'!$A$2:$A$231,0)),"")</f>
        <v>Data for: Making Sense of Human Rights Diplomacy: Evidence from a US Campaign to Free Political Prisoners</v>
      </c>
      <c r="D509" s="8" t="s">
        <v>1086</v>
      </c>
      <c r="E509" s="8" t="s">
        <v>562</v>
      </c>
      <c r="F509" s="8" t="s">
        <v>30</v>
      </c>
      <c r="G509" s="8" t="s">
        <v>32</v>
      </c>
      <c r="H509" s="8" t="s">
        <v>31</v>
      </c>
      <c r="I509" s="9" t="n">
        <v>0.0588235294117647</v>
      </c>
      <c r="J509" s="8" t="s">
        <v>33</v>
      </c>
    </row>
    <row r="510" customFormat="false" ht="15" hidden="false" customHeight="false" outlineLevel="0" collapsed="false">
      <c r="A510" s="8" t="n">
        <v>4320</v>
      </c>
      <c r="B510" s="8" t="n">
        <v>107</v>
      </c>
      <c r="C510" s="8" t="str">
        <f aca="false">IFERROR(INDEX('Project Classifications'!$B$2:$B$231,MATCH(B510,'Project Classifications'!$A$2:$A$231,0)),"")</f>
        <v>Data for: Making Sense of Human Rights Diplomacy: Evidence from a US Campaign to Free Political Prisoners</v>
      </c>
      <c r="D510" s="8" t="s">
        <v>1087</v>
      </c>
      <c r="E510" s="8" t="s">
        <v>562</v>
      </c>
      <c r="F510" s="8" t="s">
        <v>42</v>
      </c>
      <c r="G510" s="8" t="s">
        <v>44</v>
      </c>
      <c r="H510" s="8" t="s">
        <v>45</v>
      </c>
      <c r="I510" s="9" t="n">
        <v>0.222222222222222</v>
      </c>
      <c r="J510" s="8" t="s">
        <v>33</v>
      </c>
    </row>
    <row r="511" customFormat="false" ht="15" hidden="false" customHeight="false" outlineLevel="0" collapsed="false">
      <c r="A511" s="8" t="n">
        <v>4330</v>
      </c>
      <c r="B511" s="8" t="n">
        <v>107</v>
      </c>
      <c r="C511" s="8" t="str">
        <f aca="false">IFERROR(INDEX('Project Classifications'!$B$2:$B$231,MATCH(B511,'Project Classifications'!$A$2:$A$231,0)),"")</f>
        <v>Data for: Making Sense of Human Rights Diplomacy: Evidence from a US Campaign to Free Political Prisoners</v>
      </c>
      <c r="D511" s="8" t="s">
        <v>1088</v>
      </c>
      <c r="E511" s="8" t="s">
        <v>562</v>
      </c>
      <c r="F511" s="8" t="s">
        <v>30</v>
      </c>
      <c r="G511" s="8" t="s">
        <v>32</v>
      </c>
      <c r="H511" s="8" t="s">
        <v>31</v>
      </c>
      <c r="I511" s="9" t="n">
        <v>0.0588235294117647</v>
      </c>
      <c r="J511" s="8" t="s">
        <v>33</v>
      </c>
    </row>
    <row r="512" customFormat="false" ht="15" hidden="false" customHeight="false" outlineLevel="0" collapsed="false">
      <c r="A512" s="8" t="n">
        <v>4344</v>
      </c>
      <c r="B512" s="8" t="n">
        <v>107</v>
      </c>
      <c r="C512" s="8" t="str">
        <f aca="false">IFERROR(INDEX('Project Classifications'!$B$2:$B$231,MATCH(B512,'Project Classifications'!$A$2:$A$231,0)),"")</f>
        <v>Data for: Making Sense of Human Rights Diplomacy: Evidence from a US Campaign to Free Political Prisoners</v>
      </c>
      <c r="D512" s="8" t="s">
        <v>1089</v>
      </c>
      <c r="E512" s="8" t="s">
        <v>600</v>
      </c>
      <c r="F512" s="8" t="s">
        <v>97</v>
      </c>
      <c r="G512" s="8" t="s">
        <v>673</v>
      </c>
      <c r="H512" s="8" t="s">
        <v>674</v>
      </c>
      <c r="I512" s="9" t="n">
        <v>0.25</v>
      </c>
      <c r="J512" s="8" t="s">
        <v>33</v>
      </c>
    </row>
    <row r="513" customFormat="false" ht="15" hidden="false" customHeight="false" outlineLevel="0" collapsed="false">
      <c r="A513" s="8" t="n">
        <v>4345</v>
      </c>
      <c r="B513" s="8" t="n">
        <v>107</v>
      </c>
      <c r="C513" s="8" t="str">
        <f aca="false">IFERROR(INDEX('Project Classifications'!$B$2:$B$231,MATCH(B513,'Project Classifications'!$A$2:$A$231,0)),"")</f>
        <v>Data for: Making Sense of Human Rights Diplomacy: Evidence from a US Campaign to Free Political Prisoners</v>
      </c>
      <c r="D513" s="8" t="s">
        <v>1090</v>
      </c>
      <c r="E513" s="8" t="s">
        <v>574</v>
      </c>
      <c r="F513" s="8" t="s">
        <v>271</v>
      </c>
      <c r="G513" s="8" t="s">
        <v>273</v>
      </c>
      <c r="H513" s="8" t="s">
        <v>274</v>
      </c>
      <c r="I513" s="9" t="n">
        <v>0.5</v>
      </c>
      <c r="J513" s="8" t="s">
        <v>33</v>
      </c>
    </row>
    <row r="514" customFormat="false" ht="15" hidden="false" customHeight="false" outlineLevel="0" collapsed="false">
      <c r="A514" s="8" t="n">
        <v>4346</v>
      </c>
      <c r="B514" s="8" t="n">
        <v>108</v>
      </c>
      <c r="C514" s="8" t="str">
        <f aca="false">IFERROR(INDEX('Project Classifications'!$B$2:$B$231,MATCH(B514,'Project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4" s="8" t="s">
        <v>1091</v>
      </c>
      <c r="E514" s="8" t="s">
        <v>574</v>
      </c>
      <c r="F514" s="8" t="s">
        <v>53</v>
      </c>
      <c r="G514" s="8" t="s">
        <v>55</v>
      </c>
      <c r="H514" s="8" t="s">
        <v>56</v>
      </c>
      <c r="I514" s="9" t="n">
        <v>0.285714285714286</v>
      </c>
      <c r="J514" s="8" t="s">
        <v>33</v>
      </c>
    </row>
    <row r="515" customFormat="false" ht="15" hidden="false" customHeight="false" outlineLevel="0" collapsed="false">
      <c r="A515" s="8" t="n">
        <v>4347</v>
      </c>
      <c r="B515" s="8" t="n">
        <v>108</v>
      </c>
      <c r="C515" s="8" t="str">
        <f aca="false">IFERROR(INDEX('Project Classifications'!$B$2:$B$231,MATCH(B515,'Project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5" s="8" t="s">
        <v>1092</v>
      </c>
      <c r="E515" s="8" t="s">
        <v>562</v>
      </c>
      <c r="F515" s="8" t="s">
        <v>42</v>
      </c>
      <c r="G515" s="8" t="s">
        <v>44</v>
      </c>
      <c r="H515" s="8" t="s">
        <v>45</v>
      </c>
      <c r="I515" s="9" t="n">
        <v>0.111111111111111</v>
      </c>
      <c r="J515" s="8" t="s">
        <v>33</v>
      </c>
    </row>
    <row r="516" customFormat="false" ht="15" hidden="false" customHeight="false" outlineLevel="0" collapsed="false">
      <c r="A516" s="8" t="n">
        <v>4372</v>
      </c>
      <c r="B516" s="8" t="n">
        <v>108</v>
      </c>
      <c r="C516" s="8" t="str">
        <f aca="false">IFERROR(INDEX('Project Classifications'!$B$2:$B$231,MATCH(B516,'Project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6" s="8" t="s">
        <v>1093</v>
      </c>
      <c r="E516" s="8" t="s">
        <v>562</v>
      </c>
      <c r="F516" s="8" t="s">
        <v>1094</v>
      </c>
      <c r="G516" s="8" t="s">
        <v>1095</v>
      </c>
      <c r="H516" s="8" t="s">
        <v>1096</v>
      </c>
      <c r="I516" s="9" t="n">
        <v>1</v>
      </c>
      <c r="J516" s="8" t="s">
        <v>33</v>
      </c>
    </row>
    <row r="517" customFormat="false" ht="15" hidden="false" customHeight="false" outlineLevel="0" collapsed="false">
      <c r="A517" s="8" t="n">
        <v>4373</v>
      </c>
      <c r="B517" s="8" t="n">
        <v>108</v>
      </c>
      <c r="C517" s="8" t="str">
        <f aca="false">IFERROR(INDEX('Project Classifications'!$B$2:$B$231,MATCH(B517,'Project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7" s="8" t="s">
        <v>1097</v>
      </c>
      <c r="E517" s="8" t="s">
        <v>562</v>
      </c>
      <c r="F517" s="8" t="s">
        <v>42</v>
      </c>
      <c r="G517" s="8" t="s">
        <v>44</v>
      </c>
      <c r="H517" s="8" t="s">
        <v>45</v>
      </c>
      <c r="I517" s="9" t="n">
        <v>0.166666666666667</v>
      </c>
      <c r="J517" s="8" t="s">
        <v>33</v>
      </c>
    </row>
    <row r="518" customFormat="false" ht="15" hidden="false" customHeight="false" outlineLevel="0" collapsed="false">
      <c r="A518" s="8" t="n">
        <v>4374</v>
      </c>
      <c r="B518" s="8" t="n">
        <v>108</v>
      </c>
      <c r="C518" s="8" t="str">
        <f aca="false">IFERROR(INDEX('Project Classifications'!$B$2:$B$231,MATCH(B518,'Project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8" s="8" t="s">
        <v>1098</v>
      </c>
      <c r="E518" s="8" t="s">
        <v>562</v>
      </c>
      <c r="F518" s="8" t="s">
        <v>48</v>
      </c>
      <c r="G518" s="8" t="s">
        <v>50</v>
      </c>
      <c r="H518" s="8" t="s">
        <v>49</v>
      </c>
      <c r="I518" s="9" t="n">
        <v>0.125</v>
      </c>
      <c r="J518" s="8" t="s">
        <v>33</v>
      </c>
    </row>
    <row r="519" customFormat="false" ht="15" hidden="false" customHeight="false" outlineLevel="0" collapsed="false">
      <c r="A519" s="8" t="n">
        <v>4375</v>
      </c>
      <c r="B519" s="8" t="n">
        <v>108</v>
      </c>
      <c r="C519" s="8" t="str">
        <f aca="false">IFERROR(INDEX('Project Classifications'!$B$2:$B$231,MATCH(B519,'Project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19" s="8" t="s">
        <v>1099</v>
      </c>
      <c r="E519" s="8" t="s">
        <v>562</v>
      </c>
      <c r="F519" s="8" t="s">
        <v>305</v>
      </c>
      <c r="G519" s="8" t="s">
        <v>307</v>
      </c>
      <c r="H519" s="8" t="s">
        <v>306</v>
      </c>
      <c r="I519" s="9" t="n">
        <v>0</v>
      </c>
      <c r="J519" s="8" t="s">
        <v>33</v>
      </c>
    </row>
    <row r="520" customFormat="false" ht="15" hidden="false" customHeight="false" outlineLevel="0" collapsed="false">
      <c r="A520" s="8" t="n">
        <v>4376</v>
      </c>
      <c r="B520" s="8" t="n">
        <v>108</v>
      </c>
      <c r="C520" s="8" t="str">
        <f aca="false">IFERROR(INDEX('Project Classifications'!$B$2:$B$231,MATCH(B520,'Project Classifications'!$A$2:$A$231,0)),"")</f>
        <v>Data for: What Extraordinary Times Tell Us about Ordinary Ones: A Multiple Case Study of Precariously Employed Food Retail and Service Workers in Two U.S. State Contexts during the COVID-19 Pandemic</v>
      </c>
      <c r="D520" s="8" t="s">
        <v>1100</v>
      </c>
      <c r="E520" s="8" t="s">
        <v>562</v>
      </c>
      <c r="F520" s="8" t="s">
        <v>48</v>
      </c>
      <c r="G520" s="8" t="s">
        <v>50</v>
      </c>
      <c r="H520" s="8" t="s">
        <v>49</v>
      </c>
      <c r="I520" s="9" t="n">
        <v>0.125</v>
      </c>
      <c r="J520" s="8" t="s">
        <v>33</v>
      </c>
    </row>
    <row r="521" customFormat="false" ht="15" hidden="false" customHeight="false" outlineLevel="0" collapsed="false">
      <c r="A521" s="8" t="n">
        <v>4394</v>
      </c>
      <c r="B521" s="8" t="n">
        <v>109</v>
      </c>
      <c r="C521" s="8" t="str">
        <f aca="false">IFERROR(INDEX('Project Classifications'!$B$2:$B$231,MATCH(B521,'Project Classifications'!$A$2:$A$231,0)),"")</f>
        <v>Using Participatory Approaches to Assess the Acceptability of Surveillance Systems: The Case of Bovine Tuberculosis in Belgium</v>
      </c>
      <c r="D521" s="8" t="s">
        <v>1101</v>
      </c>
      <c r="E521" s="8" t="s">
        <v>562</v>
      </c>
      <c r="F521" s="8" t="s">
        <v>179</v>
      </c>
      <c r="G521" s="8" t="s">
        <v>181</v>
      </c>
      <c r="H521" s="8" t="s">
        <v>182</v>
      </c>
      <c r="I521" s="9" t="n">
        <v>0.166666666666667</v>
      </c>
      <c r="J521" s="8" t="s">
        <v>33</v>
      </c>
    </row>
    <row r="522" customFormat="false" ht="15" hidden="false" customHeight="false" outlineLevel="0" collapsed="false">
      <c r="A522" s="8" t="n">
        <v>4395</v>
      </c>
      <c r="B522" s="8" t="n">
        <v>109</v>
      </c>
      <c r="C522" s="8" t="str">
        <f aca="false">IFERROR(INDEX('Project Classifications'!$B$2:$B$231,MATCH(B522,'Project Classifications'!$A$2:$A$231,0)),"")</f>
        <v>Using Participatory Approaches to Assess the Acceptability of Surveillance Systems: The Case of Bovine Tuberculosis in Belgium</v>
      </c>
      <c r="D522" s="8" t="s">
        <v>1102</v>
      </c>
      <c r="E522" s="8" t="s">
        <v>574</v>
      </c>
      <c r="F522" s="8" t="s">
        <v>42</v>
      </c>
      <c r="G522" s="8" t="s">
        <v>44</v>
      </c>
      <c r="H522" s="8" t="s">
        <v>45</v>
      </c>
      <c r="I522" s="9" t="n">
        <v>0.166666666666667</v>
      </c>
      <c r="J522" s="8" t="s">
        <v>33</v>
      </c>
    </row>
    <row r="523" customFormat="false" ht="15" hidden="false" customHeight="false" outlineLevel="0" collapsed="false">
      <c r="A523" s="8" t="n">
        <v>4446</v>
      </c>
      <c r="B523" s="8" t="n">
        <v>112</v>
      </c>
      <c r="C523" s="8" t="str">
        <f aca="false">IFERROR(INDEX('Project Classifications'!$B$2:$B$231,MATCH(B523,'Project Classifications'!$A$2:$A$231,0)),"")</f>
        <v>Data for: Evaluation of Video-Assisted HPV Education in Government-Supported Clinics in Western Kenya</v>
      </c>
      <c r="D523" s="8" t="s">
        <v>1103</v>
      </c>
      <c r="E523" s="8" t="s">
        <v>562</v>
      </c>
      <c r="F523" s="8" t="s">
        <v>42</v>
      </c>
      <c r="G523" s="8" t="s">
        <v>44</v>
      </c>
      <c r="H523" s="8" t="s">
        <v>45</v>
      </c>
      <c r="I523" s="9" t="n">
        <v>0.111111111111111</v>
      </c>
      <c r="J523" s="8" t="s">
        <v>33</v>
      </c>
    </row>
    <row r="524" customFormat="false" ht="15" hidden="false" customHeight="false" outlineLevel="0" collapsed="false">
      <c r="A524" s="8" t="n">
        <v>4450</v>
      </c>
      <c r="B524" s="8" t="n">
        <v>112</v>
      </c>
      <c r="C524" s="8" t="str">
        <f aca="false">IFERROR(INDEX('Project Classifications'!$B$2:$B$231,MATCH(B524,'Project Classifications'!$A$2:$A$231,0)),"")</f>
        <v>Data for: Evaluation of Video-Assisted HPV Education in Government-Supported Clinics in Western Kenya</v>
      </c>
      <c r="D524" s="8" t="s">
        <v>1104</v>
      </c>
      <c r="E524" s="8" t="s">
        <v>562</v>
      </c>
      <c r="F524" s="8" t="s">
        <v>48</v>
      </c>
      <c r="G524" s="8" t="s">
        <v>50</v>
      </c>
      <c r="H524" s="8" t="s">
        <v>49</v>
      </c>
      <c r="I524" s="9" t="n">
        <v>0.1875</v>
      </c>
      <c r="J524" s="8" t="s">
        <v>33</v>
      </c>
    </row>
    <row r="525" customFormat="false" ht="15" hidden="false" customHeight="false" outlineLevel="0" collapsed="false">
      <c r="A525" s="8" t="n">
        <v>4451</v>
      </c>
      <c r="B525" s="8" t="n">
        <v>112</v>
      </c>
      <c r="C525" s="8" t="str">
        <f aca="false">IFERROR(INDEX('Project Classifications'!$B$2:$B$231,MATCH(B525,'Project Classifications'!$A$2:$A$231,0)),"")</f>
        <v>Data for: Evaluation of Video-Assisted HPV Education in Government-Supported Clinics in Western Kenya</v>
      </c>
      <c r="D525" s="8" t="s">
        <v>1105</v>
      </c>
      <c r="E525" s="8" t="s">
        <v>562</v>
      </c>
      <c r="F525" s="8" t="s">
        <v>42</v>
      </c>
      <c r="G525" s="8" t="s">
        <v>44</v>
      </c>
      <c r="H525" s="8" t="s">
        <v>45</v>
      </c>
      <c r="I525" s="9" t="n">
        <v>0.166666666666667</v>
      </c>
      <c r="J525" s="8" t="s">
        <v>33</v>
      </c>
    </row>
    <row r="526" customFormat="false" ht="15" hidden="false" customHeight="false" outlineLevel="0" collapsed="false">
      <c r="A526" s="8" t="n">
        <v>4452</v>
      </c>
      <c r="B526" s="8" t="n">
        <v>112</v>
      </c>
      <c r="C526" s="8" t="str">
        <f aca="false">IFERROR(INDEX('Project Classifications'!$B$2:$B$231,MATCH(B526,'Project Classifications'!$A$2:$A$231,0)),"")</f>
        <v>Data for: Evaluation of Video-Assisted HPV Education in Government-Supported Clinics in Western Kenya</v>
      </c>
      <c r="D526" s="8" t="s">
        <v>1106</v>
      </c>
      <c r="E526" s="8" t="s">
        <v>562</v>
      </c>
      <c r="F526" s="8" t="s">
        <v>48</v>
      </c>
      <c r="G526" s="8" t="s">
        <v>50</v>
      </c>
      <c r="H526" s="8" t="s">
        <v>49</v>
      </c>
      <c r="I526" s="9" t="n">
        <v>0.1875</v>
      </c>
      <c r="J526" s="8" t="s">
        <v>33</v>
      </c>
    </row>
    <row r="527" customFormat="false" ht="15" hidden="false" customHeight="false" outlineLevel="0" collapsed="false">
      <c r="A527" s="8" t="n">
        <v>4454</v>
      </c>
      <c r="B527" s="8" t="n">
        <v>112</v>
      </c>
      <c r="C527" s="8" t="str">
        <f aca="false">IFERROR(INDEX('Project Classifications'!$B$2:$B$231,MATCH(B527,'Project Classifications'!$A$2:$A$231,0)),"")</f>
        <v>Data for: Evaluation of Video-Assisted HPV Education in Government-Supported Clinics in Western Kenya</v>
      </c>
      <c r="D527" s="8" t="s">
        <v>1107</v>
      </c>
      <c r="E527" s="8" t="s">
        <v>562</v>
      </c>
      <c r="F527" s="8" t="s">
        <v>42</v>
      </c>
      <c r="G527" s="8" t="s">
        <v>44</v>
      </c>
      <c r="H527" s="8" t="s">
        <v>45</v>
      </c>
      <c r="I527" s="9" t="n">
        <v>0.166666666666667</v>
      </c>
      <c r="J527" s="8" t="s">
        <v>33</v>
      </c>
    </row>
    <row r="528" customFormat="false" ht="15" hidden="false" customHeight="false" outlineLevel="0" collapsed="false">
      <c r="A528" s="8" t="n">
        <v>4455</v>
      </c>
      <c r="B528" s="8" t="n">
        <v>112</v>
      </c>
      <c r="C528" s="8" t="str">
        <f aca="false">IFERROR(INDEX('Project Classifications'!$B$2:$B$231,MATCH(B528,'Project Classifications'!$A$2:$A$231,0)),"")</f>
        <v>Data for: Evaluation of Video-Assisted HPV Education in Government-Supported Clinics in Western Kenya</v>
      </c>
      <c r="D528" s="8" t="s">
        <v>1108</v>
      </c>
      <c r="E528" s="8" t="s">
        <v>562</v>
      </c>
      <c r="F528" s="8" t="s">
        <v>42</v>
      </c>
      <c r="G528" s="8" t="s">
        <v>44</v>
      </c>
      <c r="H528" s="8" t="s">
        <v>45</v>
      </c>
      <c r="I528" s="9" t="n">
        <v>0.166666666666667</v>
      </c>
      <c r="J528" s="8" t="s">
        <v>33</v>
      </c>
    </row>
    <row r="529" customFormat="false" ht="15" hidden="false" customHeight="false" outlineLevel="0" collapsed="false">
      <c r="A529" s="8" t="n">
        <v>4456</v>
      </c>
      <c r="B529" s="8" t="n">
        <v>112</v>
      </c>
      <c r="C529" s="8" t="str">
        <f aca="false">IFERROR(INDEX('Project Classifications'!$B$2:$B$231,MATCH(B529,'Project Classifications'!$A$2:$A$231,0)),"")</f>
        <v>Data for: Evaluation of Video-Assisted HPV Education in Government-Supported Clinics in Western Kenya</v>
      </c>
      <c r="D529" s="8" t="s">
        <v>1109</v>
      </c>
      <c r="E529" s="8" t="s">
        <v>574</v>
      </c>
      <c r="F529" s="8" t="s">
        <v>53</v>
      </c>
      <c r="G529" s="8" t="s">
        <v>55</v>
      </c>
      <c r="H529" s="8" t="s">
        <v>56</v>
      </c>
      <c r="I529" s="9" t="n">
        <v>0.285714285714286</v>
      </c>
      <c r="J529" s="8" t="s">
        <v>33</v>
      </c>
    </row>
    <row r="530" customFormat="false" ht="15" hidden="false" customHeight="false" outlineLevel="0" collapsed="false">
      <c r="A530" s="8" t="n">
        <v>4458</v>
      </c>
      <c r="B530" s="8" t="n">
        <v>113</v>
      </c>
      <c r="C530" s="8" t="str">
        <f aca="false">IFERROR(INDEX('Project Classifications'!$B$2:$B$231,MATCH(B530,'Project Classifications'!$A$2:$A$231,0)),"")</f>
        <v>Data for: The Meanings of 'The Child' for Married Couples in Benin</v>
      </c>
      <c r="D530" s="8" t="s">
        <v>1110</v>
      </c>
      <c r="E530" s="8" t="s">
        <v>562</v>
      </c>
      <c r="F530" s="8" t="s">
        <v>42</v>
      </c>
      <c r="G530" s="8" t="s">
        <v>44</v>
      </c>
      <c r="H530" s="8" t="s">
        <v>45</v>
      </c>
      <c r="I530" s="9" t="n">
        <v>0.111111111111111</v>
      </c>
      <c r="J530" s="8" t="s">
        <v>33</v>
      </c>
    </row>
    <row r="531" customFormat="false" ht="15" hidden="false" customHeight="false" outlineLevel="0" collapsed="false">
      <c r="A531" s="8" t="n">
        <v>4459</v>
      </c>
      <c r="B531" s="8" t="n">
        <v>113</v>
      </c>
      <c r="C531" s="8" t="str">
        <f aca="false">IFERROR(INDEX('Project Classifications'!$B$2:$B$231,MATCH(B531,'Project Classifications'!$A$2:$A$231,0)),"")</f>
        <v>Data for: The Meanings of 'The Child' for Married Couples in Benin</v>
      </c>
      <c r="D531" s="8" t="s">
        <v>1111</v>
      </c>
      <c r="E531" s="8" t="s">
        <v>562</v>
      </c>
      <c r="F531" s="8" t="s">
        <v>48</v>
      </c>
      <c r="G531" s="8" t="s">
        <v>50</v>
      </c>
      <c r="H531" s="8" t="s">
        <v>49</v>
      </c>
      <c r="I531" s="9" t="n">
        <v>0.0625</v>
      </c>
      <c r="J531" s="8" t="s">
        <v>33</v>
      </c>
    </row>
    <row r="532" customFormat="false" ht="15" hidden="false" customHeight="false" outlineLevel="0" collapsed="false">
      <c r="A532" s="8" t="n">
        <v>4460</v>
      </c>
      <c r="B532" s="8" t="n">
        <v>113</v>
      </c>
      <c r="C532" s="8" t="str">
        <f aca="false">IFERROR(INDEX('Project Classifications'!$B$2:$B$231,MATCH(B532,'Project Classifications'!$A$2:$A$231,0)),"")</f>
        <v>Data for: The Meanings of 'The Child' for Married Couples in Benin</v>
      </c>
      <c r="D532" s="8" t="s">
        <v>1112</v>
      </c>
      <c r="E532" s="8" t="s">
        <v>562</v>
      </c>
      <c r="F532" s="8" t="s">
        <v>48</v>
      </c>
      <c r="G532" s="8" t="s">
        <v>50</v>
      </c>
      <c r="H532" s="8" t="s">
        <v>49</v>
      </c>
      <c r="I532" s="9" t="n">
        <v>0.25</v>
      </c>
      <c r="J532" s="8" t="s">
        <v>33</v>
      </c>
    </row>
    <row r="533" customFormat="false" ht="15" hidden="false" customHeight="false" outlineLevel="0" collapsed="false">
      <c r="A533" s="8" t="n">
        <v>4461</v>
      </c>
      <c r="B533" s="8" t="n">
        <v>113</v>
      </c>
      <c r="C533" s="8" t="str">
        <f aca="false">IFERROR(INDEX('Project Classifications'!$B$2:$B$231,MATCH(B533,'Project Classifications'!$A$2:$A$231,0)),"")</f>
        <v>Data for: The Meanings of 'The Child' for Married Couples in Benin</v>
      </c>
      <c r="D533" s="8" t="s">
        <v>897</v>
      </c>
      <c r="E533" s="8" t="s">
        <v>574</v>
      </c>
      <c r="F533" s="8" t="s">
        <v>53</v>
      </c>
      <c r="G533" s="8" t="s">
        <v>55</v>
      </c>
      <c r="H533" s="8" t="s">
        <v>56</v>
      </c>
      <c r="I533" s="9" t="n">
        <v>0.285714285714286</v>
      </c>
      <c r="J533" s="8" t="s">
        <v>33</v>
      </c>
    </row>
    <row r="534" customFormat="false" ht="15" hidden="false" customHeight="false" outlineLevel="0" collapsed="false">
      <c r="A534" s="8" t="n">
        <v>4462</v>
      </c>
      <c r="B534" s="8" t="n">
        <v>114</v>
      </c>
      <c r="C534" s="8" t="str">
        <f aca="false">IFERROR(INDEX('Project Classifications'!$B$2:$B$231,MATCH(B534,'Project Classifications'!$A$2:$A$231,0)),"")</f>
        <v>Data For: Mind Your Pain: A Single-Arm Feasibility Study to Assess a Smartphone-Based Interoceptive Attention Training for Patients with Chronic Low Back Pain</v>
      </c>
      <c r="D534" s="8" t="s">
        <v>1113</v>
      </c>
      <c r="E534" s="8" t="s">
        <v>562</v>
      </c>
      <c r="F534" s="8" t="s">
        <v>42</v>
      </c>
      <c r="G534" s="8" t="s">
        <v>44</v>
      </c>
      <c r="H534" s="8" t="s">
        <v>45</v>
      </c>
      <c r="I534" s="9" t="n">
        <v>0.333333333333333</v>
      </c>
      <c r="J534" s="8" t="s">
        <v>33</v>
      </c>
    </row>
    <row r="535" customFormat="false" ht="15" hidden="false" customHeight="false" outlineLevel="0" collapsed="false">
      <c r="A535" s="8" t="n">
        <v>4463</v>
      </c>
      <c r="B535" s="8" t="n">
        <v>114</v>
      </c>
      <c r="C535" s="8" t="str">
        <f aca="false">IFERROR(INDEX('Project Classifications'!$B$2:$B$231,MATCH(B535,'Project Classifications'!$A$2:$A$231,0)),"")</f>
        <v>Data For: Mind Your Pain: A Single-Arm Feasibility Study to Assess a Smartphone-Based Interoceptive Attention Training for Patients with Chronic Low Back Pain</v>
      </c>
      <c r="D535" s="8" t="s">
        <v>1114</v>
      </c>
      <c r="E535" s="8" t="s">
        <v>600</v>
      </c>
      <c r="F535" s="8" t="s">
        <v>48</v>
      </c>
      <c r="G535" s="8" t="s">
        <v>50</v>
      </c>
      <c r="H535" s="8" t="s">
        <v>49</v>
      </c>
      <c r="I535" s="9" t="n">
        <v>0.125</v>
      </c>
      <c r="J535" s="8" t="s">
        <v>33</v>
      </c>
    </row>
    <row r="536" customFormat="false" ht="15" hidden="false" customHeight="false" outlineLevel="0" collapsed="false">
      <c r="A536" s="8" t="n">
        <v>4464</v>
      </c>
      <c r="B536" s="8" t="n">
        <v>114</v>
      </c>
      <c r="C536" s="8" t="str">
        <f aca="false">IFERROR(INDEX('Project Classifications'!$B$2:$B$231,MATCH(B536,'Project Classifications'!$A$2:$A$231,0)),"")</f>
        <v>Data For: Mind Your Pain: A Single-Arm Feasibility Study to Assess a Smartphone-Based Interoceptive Attention Training for Patients with Chronic Low Back Pain</v>
      </c>
      <c r="D536" s="8" t="s">
        <v>1115</v>
      </c>
      <c r="E536" s="8" t="s">
        <v>562</v>
      </c>
      <c r="F536" s="8" t="s">
        <v>42</v>
      </c>
      <c r="G536" s="8" t="s">
        <v>44</v>
      </c>
      <c r="H536" s="8" t="s">
        <v>45</v>
      </c>
      <c r="I536" s="9" t="n">
        <v>0.111111111111111</v>
      </c>
      <c r="J536" s="8" t="s">
        <v>33</v>
      </c>
    </row>
    <row r="537" customFormat="false" ht="15" hidden="false" customHeight="false" outlineLevel="0" collapsed="false">
      <c r="A537" s="8" t="n">
        <v>4494</v>
      </c>
      <c r="B537" s="8" t="n">
        <v>114</v>
      </c>
      <c r="C537" s="8" t="str">
        <f aca="false">IFERROR(INDEX('Project Classifications'!$B$2:$B$231,MATCH(B537,'Project Classifications'!$A$2:$A$231,0)),"")</f>
        <v>Data For: Mind Your Pain: A Single-Arm Feasibility Study to Assess a Smartphone-Based Interoceptive Attention Training for Patients with Chronic Low Back Pain</v>
      </c>
      <c r="D537" s="8" t="s">
        <v>1116</v>
      </c>
      <c r="E537" s="8" t="s">
        <v>562</v>
      </c>
      <c r="F537" s="8" t="s">
        <v>42</v>
      </c>
      <c r="G537" s="8" t="s">
        <v>44</v>
      </c>
      <c r="H537" s="8" t="s">
        <v>45</v>
      </c>
      <c r="I537" s="9" t="n">
        <v>0.222222222222222</v>
      </c>
      <c r="J537" s="8" t="s">
        <v>33</v>
      </c>
    </row>
    <row r="538" customFormat="false" ht="15" hidden="false" customHeight="false" outlineLevel="0" collapsed="false">
      <c r="A538" s="8" t="n">
        <v>4495</v>
      </c>
      <c r="B538" s="8" t="n">
        <v>114</v>
      </c>
      <c r="C538" s="8" t="str">
        <f aca="false">IFERROR(INDEX('Project Classifications'!$B$2:$B$231,MATCH(B538,'Project Classifications'!$A$2:$A$231,0)),"")</f>
        <v>Data For: Mind Your Pain: A Single-Arm Feasibility Study to Assess a Smartphone-Based Interoceptive Attention Training for Patients with Chronic Low Back Pain</v>
      </c>
      <c r="D538" s="8" t="s">
        <v>1117</v>
      </c>
      <c r="E538" s="8" t="s">
        <v>562</v>
      </c>
      <c r="F538" s="8" t="s">
        <v>305</v>
      </c>
      <c r="G538" s="8" t="s">
        <v>307</v>
      </c>
      <c r="H538" s="8" t="s">
        <v>306</v>
      </c>
      <c r="I538" s="9" t="n">
        <v>0</v>
      </c>
      <c r="J538" s="8" t="s">
        <v>33</v>
      </c>
    </row>
    <row r="539" customFormat="false" ht="15" hidden="false" customHeight="false" outlineLevel="0" collapsed="false">
      <c r="A539" s="8" t="n">
        <v>4500</v>
      </c>
      <c r="B539" s="8" t="n">
        <v>114</v>
      </c>
      <c r="C539" s="8" t="str">
        <f aca="false">IFERROR(INDEX('Project Classifications'!$B$2:$B$231,MATCH(B539,'Project Classifications'!$A$2:$A$231,0)),"")</f>
        <v>Data For: Mind Your Pain: A Single-Arm Feasibility Study to Assess a Smartphone-Based Interoceptive Attention Training for Patients with Chronic Low Back Pain</v>
      </c>
      <c r="D539" s="8" t="s">
        <v>1118</v>
      </c>
      <c r="E539" s="8" t="s">
        <v>574</v>
      </c>
      <c r="F539" s="8" t="s">
        <v>53</v>
      </c>
      <c r="G539" s="8" t="s">
        <v>55</v>
      </c>
      <c r="H539" s="8" t="s">
        <v>56</v>
      </c>
      <c r="I539" s="9" t="n">
        <v>0.285714285714286</v>
      </c>
      <c r="J539" s="8" t="s">
        <v>33</v>
      </c>
    </row>
    <row r="540" customFormat="false" ht="15" hidden="false" customHeight="false" outlineLevel="0" collapsed="false">
      <c r="A540" s="8" t="n">
        <v>4675</v>
      </c>
      <c r="B540" s="8" t="n">
        <v>117</v>
      </c>
      <c r="C540" s="8" t="str">
        <f aca="false">IFERROR(INDEX('Project Classifications'!$B$2:$B$231,MATCH(B540,'Project Classifications'!$A$2:$A$231,0)),"")</f>
        <v>The Effects of the Law on the Lives of Central American Unaccompanied Minors in the US</v>
      </c>
      <c r="D540" s="8" t="s">
        <v>1119</v>
      </c>
      <c r="E540" s="8" t="s">
        <v>562</v>
      </c>
      <c r="F540" s="8" t="s">
        <v>305</v>
      </c>
      <c r="G540" s="8" t="s">
        <v>307</v>
      </c>
      <c r="H540" s="8" t="s">
        <v>306</v>
      </c>
      <c r="I540" s="9" t="n">
        <v>0</v>
      </c>
      <c r="J540" s="8" t="s">
        <v>33</v>
      </c>
    </row>
    <row r="541" customFormat="false" ht="15" hidden="false" customHeight="false" outlineLevel="0" collapsed="false">
      <c r="A541" s="8" t="n">
        <v>4676</v>
      </c>
      <c r="B541" s="8" t="n">
        <v>117</v>
      </c>
      <c r="C541" s="8" t="str">
        <f aca="false">IFERROR(INDEX('Project Classifications'!$B$2:$B$231,MATCH(B541,'Project Classifications'!$A$2:$A$231,0)),"")</f>
        <v>The Effects of the Law on the Lives of Central American Unaccompanied Minors in the US</v>
      </c>
      <c r="D541" s="8" t="s">
        <v>1120</v>
      </c>
      <c r="E541" s="8" t="s">
        <v>562</v>
      </c>
      <c r="F541" s="8" t="s">
        <v>305</v>
      </c>
      <c r="G541" s="8" t="s">
        <v>307</v>
      </c>
      <c r="H541" s="8" t="s">
        <v>306</v>
      </c>
      <c r="I541" s="9" t="n">
        <v>0</v>
      </c>
      <c r="J541" s="8" t="s">
        <v>33</v>
      </c>
    </row>
    <row r="542" customFormat="false" ht="15" hidden="false" customHeight="false" outlineLevel="0" collapsed="false">
      <c r="A542" s="8" t="n">
        <v>4679</v>
      </c>
      <c r="B542" s="8" t="n">
        <v>117</v>
      </c>
      <c r="C542" s="8" t="str">
        <f aca="false">IFERROR(INDEX('Project Classifications'!$B$2:$B$231,MATCH(B542,'Project Classifications'!$A$2:$A$231,0)),"")</f>
        <v>The Effects of the Law on the Lives of Central American Unaccompanied Minors in the US</v>
      </c>
      <c r="D542" s="8" t="s">
        <v>1121</v>
      </c>
      <c r="E542" s="8" t="s">
        <v>562</v>
      </c>
      <c r="F542" s="8" t="s">
        <v>305</v>
      </c>
      <c r="G542" s="8" t="s">
        <v>307</v>
      </c>
      <c r="H542" s="8" t="s">
        <v>306</v>
      </c>
      <c r="I542" s="9" t="n">
        <v>0</v>
      </c>
      <c r="J542" s="8" t="s">
        <v>33</v>
      </c>
    </row>
    <row r="543" customFormat="false" ht="15" hidden="false" customHeight="false" outlineLevel="0" collapsed="false">
      <c r="A543" s="8" t="n">
        <v>4680</v>
      </c>
      <c r="B543" s="8" t="n">
        <v>117</v>
      </c>
      <c r="C543" s="8" t="str">
        <f aca="false">IFERROR(INDEX('Project Classifications'!$B$2:$B$231,MATCH(B543,'Project Classifications'!$A$2:$A$231,0)),"")</f>
        <v>The Effects of the Law on the Lives of Central American Unaccompanied Minors in the US</v>
      </c>
      <c r="D543" s="8" t="s">
        <v>1122</v>
      </c>
      <c r="E543" s="8" t="s">
        <v>574</v>
      </c>
      <c r="F543" s="8" t="s">
        <v>53</v>
      </c>
      <c r="G543" s="8" t="s">
        <v>55</v>
      </c>
      <c r="H543" s="8" t="s">
        <v>56</v>
      </c>
      <c r="I543" s="9" t="n">
        <v>0.285714285714286</v>
      </c>
      <c r="J543" s="8" t="s">
        <v>33</v>
      </c>
    </row>
    <row r="544" customFormat="false" ht="15" hidden="false" customHeight="false" outlineLevel="0" collapsed="false">
      <c r="A544" s="8" t="n">
        <v>4684</v>
      </c>
      <c r="B544" s="8" t="n">
        <v>118</v>
      </c>
      <c r="C544" s="8" t="str">
        <f aca="false">IFERROR(INDEX('Project Classifications'!$B$2:$B$231,MATCH(B544,'Project Classifications'!$A$2:$A$231,0)),"")</f>
        <v>Ascertaining Intergovernmental Coordination Mechanisms</v>
      </c>
      <c r="D544" s="8" t="s">
        <v>1123</v>
      </c>
      <c r="E544" s="8" t="s">
        <v>562</v>
      </c>
      <c r="F544" s="8" t="s">
        <v>71</v>
      </c>
      <c r="G544" s="8" t="s">
        <v>73</v>
      </c>
      <c r="H544" s="8" t="s">
        <v>74</v>
      </c>
      <c r="I544" s="9" t="n">
        <v>0.0714285714285714</v>
      </c>
      <c r="J544" s="8" t="s">
        <v>33</v>
      </c>
    </row>
    <row r="545" customFormat="false" ht="15" hidden="false" customHeight="false" outlineLevel="0" collapsed="false">
      <c r="A545" s="8" t="n">
        <v>4701</v>
      </c>
      <c r="B545" s="8" t="n">
        <v>118</v>
      </c>
      <c r="C545" s="8" t="str">
        <f aca="false">IFERROR(INDEX('Project Classifications'!$B$2:$B$231,MATCH(B545,'Project Classifications'!$A$2:$A$231,0)),"")</f>
        <v>Ascertaining Intergovernmental Coordination Mechanisms</v>
      </c>
      <c r="D545" s="8" t="s">
        <v>1124</v>
      </c>
      <c r="E545" s="8" t="s">
        <v>778</v>
      </c>
      <c r="F545" s="8" t="s">
        <v>71</v>
      </c>
      <c r="G545" s="8" t="s">
        <v>73</v>
      </c>
      <c r="H545" s="8" t="s">
        <v>74</v>
      </c>
      <c r="I545" s="9" t="n">
        <v>0</v>
      </c>
      <c r="J545" s="8" t="s">
        <v>741</v>
      </c>
    </row>
    <row r="546" customFormat="false" ht="15" hidden="false" customHeight="false" outlineLevel="0" collapsed="false">
      <c r="A546" s="8" t="n">
        <v>4702</v>
      </c>
      <c r="B546" s="8" t="n">
        <v>118</v>
      </c>
      <c r="C546" s="8" t="str">
        <f aca="false">IFERROR(INDEX('Project Classifications'!$B$2:$B$231,MATCH(B546,'Project Classifications'!$A$2:$A$231,0)),"")</f>
        <v>Ascertaining Intergovernmental Coordination Mechanisms</v>
      </c>
      <c r="D546" s="8" t="s">
        <v>1125</v>
      </c>
      <c r="E546" s="8" t="s">
        <v>562</v>
      </c>
      <c r="F546" s="8" t="s">
        <v>305</v>
      </c>
      <c r="G546" s="8" t="s">
        <v>307</v>
      </c>
      <c r="H546" s="8" t="s">
        <v>306</v>
      </c>
      <c r="I546" s="9" t="n">
        <v>0</v>
      </c>
      <c r="J546" s="8" t="s">
        <v>33</v>
      </c>
    </row>
    <row r="547" customFormat="false" ht="15" hidden="false" customHeight="false" outlineLevel="0" collapsed="false">
      <c r="A547" s="8" t="n">
        <v>4703</v>
      </c>
      <c r="B547" s="8" t="n">
        <v>118</v>
      </c>
      <c r="C547" s="8" t="str">
        <f aca="false">IFERROR(INDEX('Project Classifications'!$B$2:$B$231,MATCH(B547,'Project Classifications'!$A$2:$A$231,0)),"")</f>
        <v>Ascertaining Intergovernmental Coordination Mechanisms</v>
      </c>
      <c r="D547" s="8" t="s">
        <v>1126</v>
      </c>
      <c r="E547" s="8" t="s">
        <v>562</v>
      </c>
      <c r="F547" s="8" t="s">
        <v>48</v>
      </c>
      <c r="G547" s="8" t="s">
        <v>50</v>
      </c>
      <c r="H547" s="8" t="s">
        <v>49</v>
      </c>
      <c r="I547" s="9" t="n">
        <v>0.0625</v>
      </c>
      <c r="J547" s="8" t="s">
        <v>33</v>
      </c>
    </row>
    <row r="548" customFormat="false" ht="15" hidden="false" customHeight="false" outlineLevel="0" collapsed="false">
      <c r="A548" s="8" t="n">
        <v>4756</v>
      </c>
      <c r="B548" s="8" t="n">
        <v>118</v>
      </c>
      <c r="C548" s="8" t="str">
        <f aca="false">IFERROR(INDEX('Project Classifications'!$B$2:$B$231,MATCH(B548,'Project Classifications'!$A$2:$A$231,0)),"")</f>
        <v>Ascertaining Intergovernmental Coordination Mechanisms</v>
      </c>
      <c r="D548" s="8" t="s">
        <v>1127</v>
      </c>
      <c r="E548" s="8" t="s">
        <v>562</v>
      </c>
      <c r="F548" s="8" t="s">
        <v>305</v>
      </c>
      <c r="G548" s="8" t="s">
        <v>307</v>
      </c>
      <c r="H548" s="8" t="s">
        <v>306</v>
      </c>
      <c r="I548" s="9" t="n">
        <v>0</v>
      </c>
      <c r="J548" s="8" t="s">
        <v>33</v>
      </c>
    </row>
    <row r="549" customFormat="false" ht="15" hidden="false" customHeight="false" outlineLevel="0" collapsed="false">
      <c r="A549" s="8" t="n">
        <v>4757</v>
      </c>
      <c r="B549" s="8" t="n">
        <v>118</v>
      </c>
      <c r="C549" s="8" t="str">
        <f aca="false">IFERROR(INDEX('Project Classifications'!$B$2:$B$231,MATCH(B549,'Project Classifications'!$A$2:$A$231,0)),"")</f>
        <v>Ascertaining Intergovernmental Coordination Mechanisms</v>
      </c>
      <c r="D549" s="8" t="s">
        <v>1128</v>
      </c>
      <c r="E549" s="8" t="s">
        <v>574</v>
      </c>
      <c r="F549" s="8" t="s">
        <v>53</v>
      </c>
      <c r="G549" s="8" t="s">
        <v>55</v>
      </c>
      <c r="H549" s="8" t="s">
        <v>56</v>
      </c>
      <c r="I549" s="9" t="n">
        <v>0.285714285714286</v>
      </c>
      <c r="J549" s="8" t="s">
        <v>33</v>
      </c>
    </row>
    <row r="550" customFormat="false" ht="15" hidden="false" customHeight="false" outlineLevel="0" collapsed="false">
      <c r="A550" s="8" t="n">
        <v>4803</v>
      </c>
      <c r="B550" s="8" t="n">
        <v>120</v>
      </c>
      <c r="C550" s="8" t="str">
        <f aca="false">IFERROR(INDEX('Project Classifications'!$B$2:$B$231,MATCH(B550,'Project Classifications'!$A$2:$A$231,0)),"")</f>
        <v>Practitioner Perspectives on the Values and Ethics of Library Assessment</v>
      </c>
      <c r="D550" s="8" t="s">
        <v>1129</v>
      </c>
      <c r="E550" s="8" t="s">
        <v>574</v>
      </c>
      <c r="F550" s="8" t="s">
        <v>53</v>
      </c>
      <c r="G550" s="8" t="s">
        <v>55</v>
      </c>
      <c r="H550" s="8" t="s">
        <v>56</v>
      </c>
      <c r="I550" s="9" t="n">
        <v>0.285714285714286</v>
      </c>
      <c r="J550" s="8" t="s">
        <v>33</v>
      </c>
    </row>
    <row r="551" customFormat="false" ht="15" hidden="false" customHeight="false" outlineLevel="0" collapsed="false">
      <c r="A551" s="8" t="n">
        <v>4804</v>
      </c>
      <c r="B551" s="8" t="n">
        <v>120</v>
      </c>
      <c r="C551" s="8" t="str">
        <f aca="false">IFERROR(INDEX('Project Classifications'!$B$2:$B$231,MATCH(B551,'Project Classifications'!$A$2:$A$231,0)),"")</f>
        <v>Practitioner Perspectives on the Values and Ethics of Library Assessment</v>
      </c>
      <c r="D551" s="8" t="s">
        <v>1130</v>
      </c>
      <c r="E551" s="8" t="s">
        <v>562</v>
      </c>
      <c r="F551" s="8" t="s">
        <v>48</v>
      </c>
      <c r="G551" s="8" t="s">
        <v>50</v>
      </c>
      <c r="H551" s="8" t="s">
        <v>49</v>
      </c>
      <c r="I551" s="9" t="n">
        <v>0.125</v>
      </c>
      <c r="J551" s="8" t="s">
        <v>33</v>
      </c>
    </row>
    <row r="552" customFormat="false" ht="15" hidden="false" customHeight="false" outlineLevel="0" collapsed="false">
      <c r="A552" s="8" t="n">
        <v>4806</v>
      </c>
      <c r="B552" s="8" t="n">
        <v>120</v>
      </c>
      <c r="C552" s="8" t="str">
        <f aca="false">IFERROR(INDEX('Project Classifications'!$B$2:$B$231,MATCH(B552,'Project Classifications'!$A$2:$A$231,0)),"")</f>
        <v>Practitioner Perspectives on the Values and Ethics of Library Assessment</v>
      </c>
      <c r="D552" s="8" t="s">
        <v>1131</v>
      </c>
      <c r="E552" s="8" t="s">
        <v>562</v>
      </c>
      <c r="F552" s="8" t="s">
        <v>48</v>
      </c>
      <c r="G552" s="8" t="s">
        <v>50</v>
      </c>
      <c r="H552" s="8" t="s">
        <v>49</v>
      </c>
      <c r="I552" s="9" t="n">
        <v>0.0625</v>
      </c>
      <c r="J552" s="8" t="s">
        <v>33</v>
      </c>
    </row>
    <row r="553" customFormat="false" ht="15" hidden="false" customHeight="false" outlineLevel="0" collapsed="false">
      <c r="A553" s="8" t="n">
        <v>4807</v>
      </c>
      <c r="B553" s="8" t="n">
        <v>120</v>
      </c>
      <c r="C553" s="8" t="str">
        <f aca="false">IFERROR(INDEX('Project Classifications'!$B$2:$B$231,MATCH(B553,'Project Classifications'!$A$2:$A$231,0)),"")</f>
        <v>Practitioner Perspectives on the Values and Ethics of Library Assessment</v>
      </c>
      <c r="D553" s="8" t="s">
        <v>1132</v>
      </c>
      <c r="E553" s="8" t="s">
        <v>562</v>
      </c>
      <c r="F553" s="8" t="s">
        <v>305</v>
      </c>
      <c r="G553" s="8" t="s">
        <v>307</v>
      </c>
      <c r="H553" s="8" t="s">
        <v>306</v>
      </c>
      <c r="I553" s="9" t="n">
        <v>0</v>
      </c>
      <c r="J553" s="8" t="s">
        <v>33</v>
      </c>
    </row>
    <row r="554" customFormat="false" ht="15" hidden="false" customHeight="false" outlineLevel="0" collapsed="false">
      <c r="A554" s="8" t="n">
        <v>4808</v>
      </c>
      <c r="B554" s="8" t="n">
        <v>120</v>
      </c>
      <c r="C554" s="8" t="str">
        <f aca="false">IFERROR(INDEX('Project Classifications'!$B$2:$B$231,MATCH(B554,'Project Classifications'!$A$2:$A$231,0)),"")</f>
        <v>Practitioner Perspectives on the Values and Ethics of Library Assessment</v>
      </c>
      <c r="D554" s="8" t="s">
        <v>1133</v>
      </c>
      <c r="E554" s="8" t="s">
        <v>562</v>
      </c>
      <c r="F554" s="8" t="s">
        <v>36</v>
      </c>
      <c r="G554" s="8" t="s">
        <v>980</v>
      </c>
      <c r="H554" s="8" t="s">
        <v>981</v>
      </c>
      <c r="I554" s="9" t="n">
        <v>0.2</v>
      </c>
      <c r="J554" s="8" t="s">
        <v>33</v>
      </c>
    </row>
    <row r="555" customFormat="false" ht="15" hidden="false" customHeight="false" outlineLevel="0" collapsed="false">
      <c r="A555" s="8" t="n">
        <v>4809</v>
      </c>
      <c r="B555" s="8" t="n">
        <v>120</v>
      </c>
      <c r="C555" s="8" t="str">
        <f aca="false">IFERROR(INDEX('Project Classifications'!$B$2:$B$231,MATCH(B555,'Project Classifications'!$A$2:$A$231,0)),"")</f>
        <v>Practitioner Perspectives on the Values and Ethics of Library Assessment</v>
      </c>
      <c r="D555" s="8" t="s">
        <v>1134</v>
      </c>
      <c r="E555" s="8" t="s">
        <v>562</v>
      </c>
      <c r="F555" s="8" t="s">
        <v>36</v>
      </c>
      <c r="G555" s="8" t="s">
        <v>38</v>
      </c>
      <c r="H555" s="8" t="s">
        <v>39</v>
      </c>
      <c r="I555" s="9" t="n">
        <v>0.125</v>
      </c>
      <c r="J555" s="8" t="s">
        <v>33</v>
      </c>
    </row>
    <row r="556" customFormat="false" ht="15" hidden="false" customHeight="false" outlineLevel="0" collapsed="false">
      <c r="A556" s="8" t="n">
        <v>4810</v>
      </c>
      <c r="B556" s="8" t="n">
        <v>120</v>
      </c>
      <c r="C556" s="8" t="str">
        <f aca="false">IFERROR(INDEX('Project Classifications'!$B$2:$B$231,MATCH(B556,'Project Classifications'!$A$2:$A$231,0)),"")</f>
        <v>Practitioner Perspectives on the Values and Ethics of Library Assessment</v>
      </c>
      <c r="D556" s="8" t="s">
        <v>1135</v>
      </c>
      <c r="E556" s="8" t="s">
        <v>562</v>
      </c>
      <c r="F556" s="8" t="s">
        <v>97</v>
      </c>
      <c r="G556" s="8" t="s">
        <v>99</v>
      </c>
      <c r="H556" s="8" t="s">
        <v>100</v>
      </c>
      <c r="I556" s="9" t="n">
        <v>0.142857142857143</v>
      </c>
      <c r="J556" s="8" t="s">
        <v>33</v>
      </c>
    </row>
    <row r="557" customFormat="false" ht="15" hidden="false" customHeight="false" outlineLevel="0" collapsed="false">
      <c r="A557" s="8" t="n">
        <v>4811</v>
      </c>
      <c r="B557" s="8" t="n">
        <v>120</v>
      </c>
      <c r="C557" s="8" t="str">
        <f aca="false">IFERROR(INDEX('Project Classifications'!$B$2:$B$231,MATCH(B557,'Project Classifications'!$A$2:$A$231,0)),"")</f>
        <v>Practitioner Perspectives on the Values and Ethics of Library Assessment</v>
      </c>
      <c r="D557" s="8" t="s">
        <v>1136</v>
      </c>
      <c r="E557" s="8" t="s">
        <v>600</v>
      </c>
      <c r="F557" s="8" t="s">
        <v>48</v>
      </c>
      <c r="G557" s="8" t="s">
        <v>50</v>
      </c>
      <c r="H557" s="8" t="s">
        <v>49</v>
      </c>
      <c r="I557" s="9" t="n">
        <v>0.125</v>
      </c>
      <c r="J557" s="8" t="s">
        <v>33</v>
      </c>
    </row>
    <row r="558" customFormat="false" ht="15" hidden="false" customHeight="false" outlineLevel="0" collapsed="false">
      <c r="A558" s="8" t="n">
        <v>4812</v>
      </c>
      <c r="B558" s="8" t="n">
        <v>120</v>
      </c>
      <c r="C558" s="8" t="str">
        <f aca="false">IFERROR(INDEX('Project Classifications'!$B$2:$B$231,MATCH(B558,'Project Classifications'!$A$2:$A$231,0)),"")</f>
        <v>Practitioner Perspectives on the Values and Ethics of Library Assessment</v>
      </c>
      <c r="D558" s="8" t="s">
        <v>1137</v>
      </c>
      <c r="E558" s="8" t="s">
        <v>600</v>
      </c>
      <c r="F558" s="8" t="s">
        <v>48</v>
      </c>
      <c r="G558" s="8" t="s">
        <v>50</v>
      </c>
      <c r="H558" s="8" t="s">
        <v>49</v>
      </c>
      <c r="I558" s="9" t="n">
        <v>0.25</v>
      </c>
      <c r="J558" s="8" t="s">
        <v>33</v>
      </c>
    </row>
    <row r="559" customFormat="false" ht="15" hidden="false" customHeight="false" outlineLevel="0" collapsed="false">
      <c r="A559" s="8" t="n">
        <v>4813</v>
      </c>
      <c r="B559" s="8" t="n">
        <v>120</v>
      </c>
      <c r="C559" s="8" t="str">
        <f aca="false">IFERROR(INDEX('Project Classifications'!$B$2:$B$231,MATCH(B559,'Project Classifications'!$A$2:$A$231,0)),"")</f>
        <v>Practitioner Perspectives on the Values and Ethics of Library Assessment</v>
      </c>
      <c r="D559" s="8" t="s">
        <v>1138</v>
      </c>
      <c r="E559" s="8" t="s">
        <v>778</v>
      </c>
      <c r="F559" s="8" t="s">
        <v>48</v>
      </c>
      <c r="G559" s="8" t="s">
        <v>50</v>
      </c>
      <c r="H559" s="8" t="s">
        <v>49</v>
      </c>
      <c r="I559" s="9" t="n">
        <v>0</v>
      </c>
      <c r="J559" s="8" t="s">
        <v>741</v>
      </c>
    </row>
    <row r="560" customFormat="false" ht="15" hidden="false" customHeight="false" outlineLevel="0" collapsed="false">
      <c r="A560" s="8" t="n">
        <v>4814</v>
      </c>
      <c r="B560" s="8" t="n">
        <v>120</v>
      </c>
      <c r="C560" s="8" t="str">
        <f aca="false">IFERROR(INDEX('Project Classifications'!$B$2:$B$231,MATCH(B560,'Project Classifications'!$A$2:$A$231,0)),"")</f>
        <v>Practitioner Perspectives on the Values and Ethics of Library Assessment</v>
      </c>
      <c r="D560" s="8" t="s">
        <v>1139</v>
      </c>
      <c r="E560" s="8" t="s">
        <v>600</v>
      </c>
      <c r="F560" s="8" t="s">
        <v>48</v>
      </c>
      <c r="G560" s="8" t="s">
        <v>50</v>
      </c>
      <c r="H560" s="8" t="s">
        <v>49</v>
      </c>
      <c r="I560" s="9" t="n">
        <v>0.1875</v>
      </c>
      <c r="J560" s="8" t="s">
        <v>33</v>
      </c>
    </row>
    <row r="561" customFormat="false" ht="15" hidden="false" customHeight="false" outlineLevel="0" collapsed="false">
      <c r="A561" s="8" t="n">
        <v>4815</v>
      </c>
      <c r="B561" s="8" t="n">
        <v>120</v>
      </c>
      <c r="C561" s="8" t="str">
        <f aca="false">IFERROR(INDEX('Project Classifications'!$B$2:$B$231,MATCH(B561,'Project Classifications'!$A$2:$A$231,0)),"")</f>
        <v>Practitioner Perspectives on the Values and Ethics of Library Assessment</v>
      </c>
      <c r="D561" s="8" t="s">
        <v>1140</v>
      </c>
      <c r="E561" s="8" t="s">
        <v>562</v>
      </c>
      <c r="F561" s="8" t="s">
        <v>53</v>
      </c>
      <c r="G561" s="8" t="s">
        <v>646</v>
      </c>
      <c r="H561" s="8" t="s">
        <v>647</v>
      </c>
      <c r="I561" s="9" t="n">
        <v>0.2</v>
      </c>
      <c r="J561" s="8" t="s">
        <v>33</v>
      </c>
    </row>
    <row r="562" customFormat="false" ht="15" hidden="false" customHeight="false" outlineLevel="0" collapsed="false">
      <c r="A562" s="8" t="n">
        <v>4816</v>
      </c>
      <c r="B562" s="8" t="n">
        <v>120</v>
      </c>
      <c r="C562" s="8" t="str">
        <f aca="false">IFERROR(INDEX('Project Classifications'!$B$2:$B$231,MATCH(B562,'Project Classifications'!$A$2:$A$231,0)),"")</f>
        <v>Practitioner Perspectives on the Values and Ethics of Library Assessment</v>
      </c>
      <c r="D562" s="8" t="s">
        <v>1141</v>
      </c>
      <c r="E562" s="8" t="s">
        <v>562</v>
      </c>
      <c r="F562" s="8" t="s">
        <v>48</v>
      </c>
      <c r="G562" s="8" t="s">
        <v>50</v>
      </c>
      <c r="H562" s="8" t="s">
        <v>49</v>
      </c>
      <c r="I562" s="9" t="n">
        <v>0.1875</v>
      </c>
      <c r="J562" s="8" t="s">
        <v>33</v>
      </c>
    </row>
    <row r="563" customFormat="false" ht="15" hidden="false" customHeight="false" outlineLevel="0" collapsed="false">
      <c r="A563" s="8" t="n">
        <v>4817</v>
      </c>
      <c r="B563" s="8" t="n">
        <v>120</v>
      </c>
      <c r="C563" s="8" t="str">
        <f aca="false">IFERROR(INDEX('Project Classifications'!$B$2:$B$231,MATCH(B563,'Project Classifications'!$A$2:$A$231,0)),"")</f>
        <v>Practitioner Perspectives on the Values and Ethics of Library Assessment</v>
      </c>
      <c r="D563" s="8" t="s">
        <v>1142</v>
      </c>
      <c r="E563" s="8" t="s">
        <v>562</v>
      </c>
      <c r="F563" s="8" t="s">
        <v>97</v>
      </c>
      <c r="G563" s="8" t="s">
        <v>99</v>
      </c>
      <c r="H563" s="8" t="s">
        <v>100</v>
      </c>
      <c r="I563" s="9" t="n">
        <v>0.142857142857143</v>
      </c>
      <c r="J563" s="8" t="s">
        <v>33</v>
      </c>
    </row>
    <row r="564" customFormat="false" ht="15" hidden="false" customHeight="false" outlineLevel="0" collapsed="false">
      <c r="A564" s="8" t="n">
        <v>4821</v>
      </c>
      <c r="B564" s="8" t="n">
        <v>120</v>
      </c>
      <c r="C564" s="8" t="str">
        <f aca="false">IFERROR(INDEX('Project Classifications'!$B$2:$B$231,MATCH(B564,'Project Classifications'!$A$2:$A$231,0)),"")</f>
        <v>Practitioner Perspectives on the Values and Ethics of Library Assessment</v>
      </c>
      <c r="D564" s="8" t="s">
        <v>1143</v>
      </c>
      <c r="E564" s="8" t="s">
        <v>562</v>
      </c>
      <c r="F564" s="8" t="s">
        <v>36</v>
      </c>
      <c r="G564" s="8" t="s">
        <v>38</v>
      </c>
      <c r="H564" s="8" t="s">
        <v>39</v>
      </c>
      <c r="I564" s="9" t="n">
        <v>0.125</v>
      </c>
      <c r="J564" s="8" t="s">
        <v>33</v>
      </c>
    </row>
    <row r="565" customFormat="false" ht="15" hidden="false" customHeight="false" outlineLevel="0" collapsed="false">
      <c r="A565" s="8" t="n">
        <v>4822</v>
      </c>
      <c r="B565" s="8" t="n">
        <v>120</v>
      </c>
      <c r="C565" s="8" t="str">
        <f aca="false">IFERROR(INDEX('Project Classifications'!$B$2:$B$231,MATCH(B565,'Project Classifications'!$A$2:$A$231,0)),"")</f>
        <v>Practitioner Perspectives on the Values and Ethics of Library Assessment</v>
      </c>
      <c r="D565" s="8" t="s">
        <v>1144</v>
      </c>
      <c r="E565" s="8" t="s">
        <v>562</v>
      </c>
      <c r="F565" s="8" t="s">
        <v>305</v>
      </c>
      <c r="G565" s="8" t="s">
        <v>307</v>
      </c>
      <c r="H565" s="8" t="s">
        <v>306</v>
      </c>
      <c r="I565" s="9" t="n">
        <v>0</v>
      </c>
      <c r="J565" s="8" t="s">
        <v>33</v>
      </c>
    </row>
    <row r="566" customFormat="false" ht="15" hidden="false" customHeight="false" outlineLevel="0" collapsed="false">
      <c r="A566" s="8" t="n">
        <v>4823</v>
      </c>
      <c r="B566" s="8" t="n">
        <v>120</v>
      </c>
      <c r="C566" s="8" t="str">
        <f aca="false">IFERROR(INDEX('Project Classifications'!$B$2:$B$231,MATCH(B566,'Project Classifications'!$A$2:$A$231,0)),"")</f>
        <v>Practitioner Perspectives on the Values and Ethics of Library Assessment</v>
      </c>
      <c r="D566" s="8" t="s">
        <v>1145</v>
      </c>
      <c r="E566" s="8" t="s">
        <v>562</v>
      </c>
      <c r="F566" s="8" t="s">
        <v>305</v>
      </c>
      <c r="G566" s="8" t="s">
        <v>307</v>
      </c>
      <c r="H566" s="8" t="s">
        <v>306</v>
      </c>
      <c r="I566" s="9" t="n">
        <v>0</v>
      </c>
      <c r="J566" s="8" t="s">
        <v>33</v>
      </c>
    </row>
    <row r="567" customFormat="false" ht="15" hidden="false" customHeight="false" outlineLevel="0" collapsed="false">
      <c r="A567" s="8" t="n">
        <v>4824</v>
      </c>
      <c r="B567" s="8" t="n">
        <v>120</v>
      </c>
      <c r="C567" s="8" t="str">
        <f aca="false">IFERROR(INDEX('Project Classifications'!$B$2:$B$231,MATCH(B567,'Project Classifications'!$A$2:$A$231,0)),"")</f>
        <v>Practitioner Perspectives on the Values and Ethics of Library Assessment</v>
      </c>
      <c r="D567" s="8" t="s">
        <v>1146</v>
      </c>
      <c r="E567" s="8" t="s">
        <v>562</v>
      </c>
      <c r="F567" s="8" t="s">
        <v>48</v>
      </c>
      <c r="G567" s="8" t="s">
        <v>50</v>
      </c>
      <c r="H567" s="8" t="s">
        <v>49</v>
      </c>
      <c r="I567" s="9" t="n">
        <v>0.0625</v>
      </c>
      <c r="J567" s="8" t="s">
        <v>33</v>
      </c>
    </row>
    <row r="568" customFormat="false" ht="15" hidden="false" customHeight="false" outlineLevel="0" collapsed="false">
      <c r="A568" s="8" t="n">
        <v>4825</v>
      </c>
      <c r="B568" s="8" t="n">
        <v>120</v>
      </c>
      <c r="C568" s="8" t="str">
        <f aca="false">IFERROR(INDEX('Project Classifications'!$B$2:$B$231,MATCH(B568,'Project Classifications'!$A$2:$A$231,0)),"")</f>
        <v>Practitioner Perspectives on the Values and Ethics of Library Assessment</v>
      </c>
      <c r="D568" s="8" t="s">
        <v>1147</v>
      </c>
      <c r="E568" s="8" t="s">
        <v>562</v>
      </c>
      <c r="F568" s="8" t="s">
        <v>305</v>
      </c>
      <c r="G568" s="8" t="s">
        <v>307</v>
      </c>
      <c r="H568" s="8" t="s">
        <v>306</v>
      </c>
      <c r="I568" s="9" t="n">
        <v>0</v>
      </c>
      <c r="J568" s="8" t="s">
        <v>33</v>
      </c>
    </row>
    <row r="569" customFormat="false" ht="15" hidden="false" customHeight="false" outlineLevel="0" collapsed="false">
      <c r="A569" s="8" t="n">
        <v>4826</v>
      </c>
      <c r="B569" s="8" t="n">
        <v>120</v>
      </c>
      <c r="C569" s="8" t="str">
        <f aca="false">IFERROR(INDEX('Project Classifications'!$B$2:$B$231,MATCH(B569,'Project Classifications'!$A$2:$A$231,0)),"")</f>
        <v>Practitioner Perspectives on the Values and Ethics of Library Assessment</v>
      </c>
      <c r="D569" s="8" t="s">
        <v>1148</v>
      </c>
      <c r="E569" s="8" t="s">
        <v>562</v>
      </c>
      <c r="F569" s="8" t="s">
        <v>53</v>
      </c>
      <c r="G569" s="8" t="s">
        <v>646</v>
      </c>
      <c r="H569" s="8" t="s">
        <v>647</v>
      </c>
      <c r="I569" s="9" t="n">
        <v>0.2</v>
      </c>
      <c r="J569" s="8" t="s">
        <v>33</v>
      </c>
    </row>
    <row r="570" customFormat="false" ht="15" hidden="false" customHeight="false" outlineLevel="0" collapsed="false">
      <c r="A570" s="8" t="n">
        <v>4827</v>
      </c>
      <c r="B570" s="8" t="n">
        <v>120</v>
      </c>
      <c r="C570" s="8" t="str">
        <f aca="false">IFERROR(INDEX('Project Classifications'!$B$2:$B$231,MATCH(B570,'Project Classifications'!$A$2:$A$231,0)),"")</f>
        <v>Practitioner Perspectives on the Values and Ethics of Library Assessment</v>
      </c>
      <c r="D570" s="8" t="s">
        <v>1149</v>
      </c>
      <c r="E570" s="8" t="s">
        <v>562</v>
      </c>
      <c r="F570" s="8" t="s">
        <v>71</v>
      </c>
      <c r="G570" s="8" t="s">
        <v>83</v>
      </c>
      <c r="H570" s="8" t="s">
        <v>84</v>
      </c>
      <c r="I570" s="9" t="n">
        <v>0.25</v>
      </c>
      <c r="J570" s="8" t="s">
        <v>33</v>
      </c>
    </row>
    <row r="571" customFormat="false" ht="15" hidden="false" customHeight="false" outlineLevel="0" collapsed="false">
      <c r="A571" s="8" t="n">
        <v>4828</v>
      </c>
      <c r="B571" s="8" t="n">
        <v>120</v>
      </c>
      <c r="C571" s="8" t="str">
        <f aca="false">IFERROR(INDEX('Project Classifications'!$B$2:$B$231,MATCH(B571,'Project Classifications'!$A$2:$A$231,0)),"")</f>
        <v>Practitioner Perspectives on the Values and Ethics of Library Assessment</v>
      </c>
      <c r="D571" s="8" t="s">
        <v>1150</v>
      </c>
      <c r="E571" s="8" t="s">
        <v>562</v>
      </c>
      <c r="F571" s="8" t="s">
        <v>71</v>
      </c>
      <c r="G571" s="8" t="s">
        <v>83</v>
      </c>
      <c r="H571" s="8" t="s">
        <v>84</v>
      </c>
      <c r="I571" s="9" t="n">
        <v>0.25</v>
      </c>
      <c r="J571" s="8" t="s">
        <v>33</v>
      </c>
    </row>
    <row r="572" customFormat="false" ht="15" hidden="false" customHeight="false" outlineLevel="0" collapsed="false">
      <c r="A572" s="8" t="n">
        <v>4829</v>
      </c>
      <c r="B572" s="8" t="n">
        <v>120</v>
      </c>
      <c r="C572" s="8" t="str">
        <f aca="false">IFERROR(INDEX('Project Classifications'!$B$2:$B$231,MATCH(B572,'Project Classifications'!$A$2:$A$231,0)),"")</f>
        <v>Practitioner Perspectives on the Values and Ethics of Library Assessment</v>
      </c>
      <c r="D572" s="8" t="s">
        <v>1151</v>
      </c>
      <c r="E572" s="8" t="s">
        <v>562</v>
      </c>
      <c r="F572" s="8" t="s">
        <v>71</v>
      </c>
      <c r="G572" s="8" t="s">
        <v>903</v>
      </c>
      <c r="H572" s="8" t="s">
        <v>904</v>
      </c>
      <c r="I572" s="9" t="n">
        <v>0.2</v>
      </c>
      <c r="J572" s="8" t="s">
        <v>33</v>
      </c>
    </row>
    <row r="573" customFormat="false" ht="15" hidden="false" customHeight="false" outlineLevel="0" collapsed="false">
      <c r="A573" s="8" t="n">
        <v>4830</v>
      </c>
      <c r="B573" s="8" t="n">
        <v>120</v>
      </c>
      <c r="C573" s="8" t="str">
        <f aca="false">IFERROR(INDEX('Project Classifications'!$B$2:$B$231,MATCH(B573,'Project Classifications'!$A$2:$A$231,0)),"")</f>
        <v>Practitioner Perspectives on the Values and Ethics of Library Assessment</v>
      </c>
      <c r="D573" s="8" t="s">
        <v>1152</v>
      </c>
      <c r="E573" s="8" t="s">
        <v>562</v>
      </c>
      <c r="F573" s="8" t="s">
        <v>305</v>
      </c>
      <c r="G573" s="8" t="s">
        <v>307</v>
      </c>
      <c r="H573" s="8" t="s">
        <v>306</v>
      </c>
      <c r="I573" s="9" t="n">
        <v>0</v>
      </c>
      <c r="J573" s="8" t="s">
        <v>33</v>
      </c>
    </row>
    <row r="574" customFormat="false" ht="15" hidden="false" customHeight="false" outlineLevel="0" collapsed="false">
      <c r="A574" s="8" t="n">
        <v>4831</v>
      </c>
      <c r="B574" s="8" t="n">
        <v>120</v>
      </c>
      <c r="C574" s="8" t="str">
        <f aca="false">IFERROR(INDEX('Project Classifications'!$B$2:$B$231,MATCH(B574,'Project Classifications'!$A$2:$A$231,0)),"")</f>
        <v>Practitioner Perspectives on the Values and Ethics of Library Assessment</v>
      </c>
      <c r="D574" s="8" t="s">
        <v>1153</v>
      </c>
      <c r="E574" s="8" t="s">
        <v>562</v>
      </c>
      <c r="F574" s="8" t="s">
        <v>305</v>
      </c>
      <c r="G574" s="8" t="s">
        <v>307</v>
      </c>
      <c r="H574" s="8" t="s">
        <v>306</v>
      </c>
      <c r="I574" s="9" t="n">
        <v>0</v>
      </c>
      <c r="J574" s="8" t="s">
        <v>33</v>
      </c>
    </row>
    <row r="575" customFormat="false" ht="15" hidden="false" customHeight="false" outlineLevel="0" collapsed="false">
      <c r="A575" s="8" t="n">
        <v>4832</v>
      </c>
      <c r="B575" s="8" t="n">
        <v>120</v>
      </c>
      <c r="C575" s="8" t="str">
        <f aca="false">IFERROR(INDEX('Project Classifications'!$B$2:$B$231,MATCH(B575,'Project Classifications'!$A$2:$A$231,0)),"")</f>
        <v>Practitioner Perspectives on the Values and Ethics of Library Assessment</v>
      </c>
      <c r="D575" s="8" t="s">
        <v>1154</v>
      </c>
      <c r="E575" s="8" t="s">
        <v>562</v>
      </c>
      <c r="F575" s="8" t="s">
        <v>305</v>
      </c>
      <c r="G575" s="8" t="s">
        <v>307</v>
      </c>
      <c r="H575" s="8" t="s">
        <v>306</v>
      </c>
      <c r="I575" s="9" t="n">
        <v>0</v>
      </c>
      <c r="J575" s="8" t="s">
        <v>33</v>
      </c>
    </row>
    <row r="576" customFormat="false" ht="15" hidden="false" customHeight="false" outlineLevel="0" collapsed="false">
      <c r="A576" s="8" t="n">
        <v>4833</v>
      </c>
      <c r="B576" s="8" t="n">
        <v>120</v>
      </c>
      <c r="C576" s="8" t="str">
        <f aca="false">IFERROR(INDEX('Project Classifications'!$B$2:$B$231,MATCH(B576,'Project Classifications'!$A$2:$A$231,0)),"")</f>
        <v>Practitioner Perspectives on the Values and Ethics of Library Assessment</v>
      </c>
      <c r="D576" s="8" t="s">
        <v>1155</v>
      </c>
      <c r="E576" s="8" t="s">
        <v>562</v>
      </c>
      <c r="F576" s="8" t="s">
        <v>305</v>
      </c>
      <c r="G576" s="8" t="s">
        <v>307</v>
      </c>
      <c r="H576" s="8" t="s">
        <v>306</v>
      </c>
      <c r="I576" s="9" t="n">
        <v>0</v>
      </c>
      <c r="J576" s="8" t="s">
        <v>33</v>
      </c>
    </row>
    <row r="577" customFormat="false" ht="15" hidden="false" customHeight="false" outlineLevel="0" collapsed="false">
      <c r="A577" s="8" t="n">
        <v>4834</v>
      </c>
      <c r="B577" s="8" t="n">
        <v>120</v>
      </c>
      <c r="C577" s="8" t="str">
        <f aca="false">IFERROR(INDEX('Project Classifications'!$B$2:$B$231,MATCH(B577,'Project Classifications'!$A$2:$A$231,0)),"")</f>
        <v>Practitioner Perspectives on the Values and Ethics of Library Assessment</v>
      </c>
      <c r="D577" s="8" t="s">
        <v>1156</v>
      </c>
      <c r="E577" s="8" t="s">
        <v>562</v>
      </c>
      <c r="F577" s="8" t="s">
        <v>71</v>
      </c>
      <c r="G577" s="8" t="s">
        <v>83</v>
      </c>
      <c r="H577" s="8" t="s">
        <v>84</v>
      </c>
      <c r="I577" s="9" t="n">
        <v>0.25</v>
      </c>
      <c r="J577" s="8" t="s">
        <v>33</v>
      </c>
    </row>
    <row r="578" customFormat="false" ht="15" hidden="false" customHeight="false" outlineLevel="0" collapsed="false">
      <c r="A578" s="8" t="n">
        <v>4835</v>
      </c>
      <c r="B578" s="8" t="n">
        <v>120</v>
      </c>
      <c r="C578" s="8" t="str">
        <f aca="false">IFERROR(INDEX('Project Classifications'!$B$2:$B$231,MATCH(B578,'Project Classifications'!$A$2:$A$231,0)),"")</f>
        <v>Practitioner Perspectives on the Values and Ethics of Library Assessment</v>
      </c>
      <c r="D578" s="8" t="s">
        <v>1157</v>
      </c>
      <c r="E578" s="8" t="s">
        <v>562</v>
      </c>
      <c r="F578" s="8" t="s">
        <v>36</v>
      </c>
      <c r="G578" s="8" t="s">
        <v>980</v>
      </c>
      <c r="H578" s="8" t="s">
        <v>981</v>
      </c>
      <c r="I578" s="9" t="n">
        <v>0.2</v>
      </c>
      <c r="J578" s="8" t="s">
        <v>33</v>
      </c>
    </row>
    <row r="579" customFormat="false" ht="15" hidden="false" customHeight="false" outlineLevel="0" collapsed="false">
      <c r="A579" s="8" t="n">
        <v>4836</v>
      </c>
      <c r="B579" s="8" t="n">
        <v>120</v>
      </c>
      <c r="C579" s="8" t="str">
        <f aca="false">IFERROR(INDEX('Project Classifications'!$B$2:$B$231,MATCH(B579,'Project Classifications'!$A$2:$A$231,0)),"")</f>
        <v>Practitioner Perspectives on the Values and Ethics of Library Assessment</v>
      </c>
      <c r="D579" s="8" t="s">
        <v>1158</v>
      </c>
      <c r="E579" s="8" t="s">
        <v>562</v>
      </c>
      <c r="F579" s="8" t="s">
        <v>305</v>
      </c>
      <c r="G579" s="8" t="s">
        <v>307</v>
      </c>
      <c r="H579" s="8" t="s">
        <v>306</v>
      </c>
      <c r="I579" s="9" t="n">
        <v>0</v>
      </c>
      <c r="J579" s="8" t="s">
        <v>33</v>
      </c>
    </row>
    <row r="580" customFormat="false" ht="15" hidden="false" customHeight="false" outlineLevel="0" collapsed="false">
      <c r="A580" s="8" t="n">
        <v>4837</v>
      </c>
      <c r="B580" s="8" t="n">
        <v>121</v>
      </c>
      <c r="C580" s="8" t="str">
        <f aca="false">IFERROR(INDEX('Project Classifications'!$B$2:$B$231,MATCH(B580,'Project Classifications'!$A$2:$A$231,0)),"")</f>
        <v>Data for: Older Adults’ Use of a Research-Based Web Platform for Social Interaction</v>
      </c>
      <c r="D580" s="8" t="s">
        <v>1159</v>
      </c>
      <c r="E580" s="8" t="s">
        <v>562</v>
      </c>
      <c r="F580" s="8" t="s">
        <v>97</v>
      </c>
      <c r="G580" s="8" t="s">
        <v>99</v>
      </c>
      <c r="H580" s="8" t="s">
        <v>100</v>
      </c>
      <c r="I580" s="9" t="n">
        <v>0.142857142857143</v>
      </c>
      <c r="J580" s="8" t="s">
        <v>33</v>
      </c>
    </row>
    <row r="581" customFormat="false" ht="15" hidden="false" customHeight="false" outlineLevel="0" collapsed="false">
      <c r="A581" s="8" t="n">
        <v>4838</v>
      </c>
      <c r="B581" s="8" t="n">
        <v>121</v>
      </c>
      <c r="C581" s="8" t="str">
        <f aca="false">IFERROR(INDEX('Project Classifications'!$B$2:$B$231,MATCH(B581,'Project Classifications'!$A$2:$A$231,0)),"")</f>
        <v>Data for: Older Adults’ Use of a Research-Based Web Platform for Social Interaction</v>
      </c>
      <c r="D581" s="8" t="s">
        <v>1160</v>
      </c>
      <c r="E581" s="8" t="s">
        <v>562</v>
      </c>
      <c r="F581" s="8" t="s">
        <v>305</v>
      </c>
      <c r="G581" s="8" t="s">
        <v>307</v>
      </c>
      <c r="H581" s="8" t="s">
        <v>306</v>
      </c>
      <c r="I581" s="9" t="n">
        <v>0</v>
      </c>
      <c r="J581" s="8" t="s">
        <v>33</v>
      </c>
    </row>
    <row r="582" customFormat="false" ht="15" hidden="false" customHeight="false" outlineLevel="0" collapsed="false">
      <c r="A582" s="8" t="n">
        <v>4839</v>
      </c>
      <c r="B582" s="8" t="n">
        <v>121</v>
      </c>
      <c r="C582" s="8" t="str">
        <f aca="false">IFERROR(INDEX('Project Classifications'!$B$2:$B$231,MATCH(B582,'Project Classifications'!$A$2:$A$231,0)),"")</f>
        <v>Data for: Older Adults’ Use of a Research-Based Web Platform for Social Interaction</v>
      </c>
      <c r="D582" s="8" t="s">
        <v>1161</v>
      </c>
      <c r="E582" s="8" t="s">
        <v>562</v>
      </c>
      <c r="F582" s="8" t="s">
        <v>305</v>
      </c>
      <c r="G582" s="8" t="s">
        <v>307</v>
      </c>
      <c r="H582" s="8" t="s">
        <v>306</v>
      </c>
      <c r="I582" s="9" t="n">
        <v>0</v>
      </c>
      <c r="J582" s="8" t="s">
        <v>33</v>
      </c>
    </row>
    <row r="583" customFormat="false" ht="15" hidden="false" customHeight="false" outlineLevel="0" collapsed="false">
      <c r="A583" s="8" t="n">
        <v>4843</v>
      </c>
      <c r="B583" s="8" t="n">
        <v>121</v>
      </c>
      <c r="C583" s="8" t="str">
        <f aca="false">IFERROR(INDEX('Project Classifications'!$B$2:$B$231,MATCH(B583,'Project Classifications'!$A$2:$A$231,0)),"")</f>
        <v>Data for: Older Adults’ Use of a Research-Based Web Platform for Social Interaction</v>
      </c>
      <c r="D583" s="8" t="s">
        <v>1162</v>
      </c>
      <c r="E583" s="8" t="s">
        <v>562</v>
      </c>
      <c r="F583" s="8" t="s">
        <v>305</v>
      </c>
      <c r="G583" s="8" t="s">
        <v>307</v>
      </c>
      <c r="H583" s="8" t="s">
        <v>306</v>
      </c>
      <c r="I583" s="9" t="n">
        <v>0</v>
      </c>
      <c r="J583" s="8" t="s">
        <v>33</v>
      </c>
    </row>
    <row r="584" customFormat="false" ht="15" hidden="false" customHeight="false" outlineLevel="0" collapsed="false">
      <c r="A584" s="8" t="n">
        <v>4845</v>
      </c>
      <c r="B584" s="8" t="n">
        <v>121</v>
      </c>
      <c r="C584" s="8" t="str">
        <f aca="false">IFERROR(INDEX('Project Classifications'!$B$2:$B$231,MATCH(B584,'Project Classifications'!$A$2:$A$231,0)),"")</f>
        <v>Data for: Older Adults’ Use of a Research-Based Web Platform for Social Interaction</v>
      </c>
      <c r="D584" s="8" t="s">
        <v>1163</v>
      </c>
      <c r="E584" s="8" t="s">
        <v>562</v>
      </c>
      <c r="F584" s="8" t="s">
        <v>305</v>
      </c>
      <c r="G584" s="8" t="s">
        <v>307</v>
      </c>
      <c r="H584" s="8" t="s">
        <v>306</v>
      </c>
      <c r="I584" s="9" t="n">
        <v>0</v>
      </c>
      <c r="J584" s="8" t="s">
        <v>33</v>
      </c>
    </row>
    <row r="585" customFormat="false" ht="15" hidden="false" customHeight="false" outlineLevel="0" collapsed="false">
      <c r="A585" s="8" t="n">
        <v>4846</v>
      </c>
      <c r="B585" s="8" t="n">
        <v>121</v>
      </c>
      <c r="C585" s="8" t="str">
        <f aca="false">IFERROR(INDEX('Project Classifications'!$B$2:$B$231,MATCH(B585,'Project Classifications'!$A$2:$A$231,0)),"")</f>
        <v>Data for: Older Adults’ Use of a Research-Based Web Platform for Social Interaction</v>
      </c>
      <c r="D585" s="8" t="s">
        <v>1164</v>
      </c>
      <c r="E585" s="8" t="s">
        <v>562</v>
      </c>
      <c r="F585" s="8" t="s">
        <v>305</v>
      </c>
      <c r="G585" s="8" t="s">
        <v>307</v>
      </c>
      <c r="H585" s="8" t="s">
        <v>306</v>
      </c>
      <c r="I585" s="9" t="n">
        <v>0</v>
      </c>
      <c r="J585" s="8" t="s">
        <v>33</v>
      </c>
    </row>
    <row r="586" customFormat="false" ht="15" hidden="false" customHeight="false" outlineLevel="0" collapsed="false">
      <c r="A586" s="8" t="n">
        <v>4847</v>
      </c>
      <c r="B586" s="8" t="n">
        <v>121</v>
      </c>
      <c r="C586" s="8" t="str">
        <f aca="false">IFERROR(INDEX('Project Classifications'!$B$2:$B$231,MATCH(B586,'Project Classifications'!$A$2:$A$231,0)),"")</f>
        <v>Data for: Older Adults’ Use of a Research-Based Web Platform for Social Interaction</v>
      </c>
      <c r="D586" s="8" t="s">
        <v>1165</v>
      </c>
      <c r="E586" s="8" t="s">
        <v>562</v>
      </c>
      <c r="F586" s="8" t="s">
        <v>305</v>
      </c>
      <c r="G586" s="8" t="s">
        <v>307</v>
      </c>
      <c r="H586" s="8" t="s">
        <v>306</v>
      </c>
      <c r="I586" s="9" t="n">
        <v>0</v>
      </c>
      <c r="J586" s="8" t="s">
        <v>33</v>
      </c>
    </row>
    <row r="587" customFormat="false" ht="15" hidden="false" customHeight="false" outlineLevel="0" collapsed="false">
      <c r="A587" s="8" t="n">
        <v>4848</v>
      </c>
      <c r="B587" s="8" t="n">
        <v>121</v>
      </c>
      <c r="C587" s="8" t="str">
        <f aca="false">IFERROR(INDEX('Project Classifications'!$B$2:$B$231,MATCH(B587,'Project Classifications'!$A$2:$A$231,0)),"")</f>
        <v>Data for: Older Adults’ Use of a Research-Based Web Platform for Social Interaction</v>
      </c>
      <c r="D587" s="8" t="s">
        <v>1166</v>
      </c>
      <c r="E587" s="8" t="s">
        <v>574</v>
      </c>
      <c r="F587" s="8" t="s">
        <v>53</v>
      </c>
      <c r="G587" s="8" t="s">
        <v>55</v>
      </c>
      <c r="H587" s="8" t="s">
        <v>56</v>
      </c>
      <c r="I587" s="9" t="n">
        <v>0.285714285714286</v>
      </c>
      <c r="J587" s="8" t="s">
        <v>33</v>
      </c>
    </row>
    <row r="588" customFormat="false" ht="15" hidden="false" customHeight="false" outlineLevel="0" collapsed="false">
      <c r="A588" s="8" t="n">
        <v>4879</v>
      </c>
      <c r="B588" s="8" t="n">
        <v>122</v>
      </c>
      <c r="C588" s="8" t="str">
        <f aca="false">IFERROR(INDEX('Project Classifications'!$B$2:$B$231,MATCH(B588,'Project Classifications'!$A$2:$A$231,0)),"")</f>
        <v>Between Interests and Law: The Politics of Transnational Commercial Disputes</v>
      </c>
      <c r="D588" s="8" t="s">
        <v>1167</v>
      </c>
      <c r="E588" s="8" t="s">
        <v>562</v>
      </c>
      <c r="F588" s="8" t="s">
        <v>48</v>
      </c>
      <c r="G588" s="8" t="s">
        <v>50</v>
      </c>
      <c r="H588" s="8" t="s">
        <v>49</v>
      </c>
      <c r="I588" s="9" t="n">
        <v>0.125</v>
      </c>
      <c r="J588" s="8" t="s">
        <v>33</v>
      </c>
    </row>
    <row r="589" customFormat="false" ht="15" hidden="false" customHeight="false" outlineLevel="0" collapsed="false">
      <c r="A589" s="8" t="n">
        <v>5051</v>
      </c>
      <c r="B589" s="8" t="n">
        <v>122</v>
      </c>
      <c r="C589" s="8" t="str">
        <f aca="false">IFERROR(INDEX('Project Classifications'!$B$2:$B$231,MATCH(B589,'Project Classifications'!$A$2:$A$231,0)),"")</f>
        <v>Between Interests and Law: The Politics of Transnational Commercial Disputes</v>
      </c>
      <c r="D589" s="8" t="s">
        <v>1168</v>
      </c>
      <c r="E589" s="8" t="s">
        <v>574</v>
      </c>
      <c r="F589" s="8" t="s">
        <v>53</v>
      </c>
      <c r="G589" s="8" t="s">
        <v>55</v>
      </c>
      <c r="H589" s="8" t="s">
        <v>56</v>
      </c>
      <c r="I589" s="9" t="n">
        <v>0.142857142857143</v>
      </c>
      <c r="J589" s="8" t="s">
        <v>33</v>
      </c>
    </row>
    <row r="590" customFormat="false" ht="15" hidden="false" customHeight="false" outlineLevel="0" collapsed="false">
      <c r="A590" s="8" t="n">
        <v>5052</v>
      </c>
      <c r="B590" s="8" t="n">
        <v>123</v>
      </c>
      <c r="C590" s="8" t="str">
        <f aca="false">IFERROR(INDEX('Project Classifications'!$B$2:$B$231,MATCH(B590,'Project Classifications'!$A$2:$A$231,0)),"")</f>
        <v>Energy Democracy in Northeastern North America</v>
      </c>
      <c r="D590" s="8" t="s">
        <v>1169</v>
      </c>
      <c r="E590" s="8" t="s">
        <v>562</v>
      </c>
      <c r="F590" s="8" t="s">
        <v>42</v>
      </c>
      <c r="G590" s="8" t="s">
        <v>44</v>
      </c>
      <c r="H590" s="8" t="s">
        <v>45</v>
      </c>
      <c r="I590" s="9" t="n">
        <v>0.111111111111111</v>
      </c>
      <c r="J590" s="8" t="s">
        <v>33</v>
      </c>
    </row>
    <row r="591" customFormat="false" ht="15" hidden="false" customHeight="false" outlineLevel="0" collapsed="false">
      <c r="A591" s="8" t="n">
        <v>5053</v>
      </c>
      <c r="B591" s="8" t="n">
        <v>123</v>
      </c>
      <c r="C591" s="8" t="str">
        <f aca="false">IFERROR(INDEX('Project Classifications'!$B$2:$B$231,MATCH(B591,'Project Classifications'!$A$2:$A$231,0)),"")</f>
        <v>Energy Democracy in Northeastern North America</v>
      </c>
      <c r="D591" s="8" t="s">
        <v>1170</v>
      </c>
      <c r="E591" s="8" t="s">
        <v>562</v>
      </c>
      <c r="F591" s="8" t="s">
        <v>48</v>
      </c>
      <c r="G591" s="8" t="s">
        <v>50</v>
      </c>
      <c r="H591" s="8" t="s">
        <v>49</v>
      </c>
      <c r="I591" s="9" t="n">
        <v>0.125</v>
      </c>
      <c r="J591" s="8" t="s">
        <v>33</v>
      </c>
    </row>
    <row r="592" customFormat="false" ht="15" hidden="false" customHeight="false" outlineLevel="0" collapsed="false">
      <c r="A592" s="8" t="n">
        <v>5054</v>
      </c>
      <c r="B592" s="8" t="n">
        <v>123</v>
      </c>
      <c r="C592" s="8" t="str">
        <f aca="false">IFERROR(INDEX('Project Classifications'!$B$2:$B$231,MATCH(B592,'Project Classifications'!$A$2:$A$231,0)),"")</f>
        <v>Energy Democracy in Northeastern North America</v>
      </c>
      <c r="D592" s="8" t="s">
        <v>1171</v>
      </c>
      <c r="E592" s="8" t="s">
        <v>1172</v>
      </c>
      <c r="F592" s="8" t="s">
        <v>42</v>
      </c>
      <c r="G592" s="8" t="s">
        <v>44</v>
      </c>
      <c r="H592" s="8" t="s">
        <v>45</v>
      </c>
      <c r="I592" s="9" t="n">
        <v>0.111111111111111</v>
      </c>
      <c r="J592" s="8" t="s">
        <v>33</v>
      </c>
    </row>
    <row r="593" customFormat="false" ht="15" hidden="false" customHeight="false" outlineLevel="0" collapsed="false">
      <c r="A593" s="8" t="n">
        <v>5055</v>
      </c>
      <c r="B593" s="8" t="n">
        <v>123</v>
      </c>
      <c r="C593" s="8" t="str">
        <f aca="false">IFERROR(INDEX('Project Classifications'!$B$2:$B$231,MATCH(B593,'Project Classifications'!$A$2:$A$231,0)),"")</f>
        <v>Energy Democracy in Northeastern North America</v>
      </c>
      <c r="D593" s="8" t="s">
        <v>1173</v>
      </c>
      <c r="E593" s="8" t="s">
        <v>1174</v>
      </c>
      <c r="F593" s="8" t="s">
        <v>42</v>
      </c>
      <c r="G593" s="8" t="s">
        <v>44</v>
      </c>
      <c r="H593" s="8" t="s">
        <v>45</v>
      </c>
      <c r="I593" s="9" t="n">
        <v>0.111111111111111</v>
      </c>
      <c r="J593" s="8" t="s">
        <v>33</v>
      </c>
    </row>
    <row r="594" customFormat="false" ht="15" hidden="false" customHeight="false" outlineLevel="0" collapsed="false">
      <c r="A594" s="8" t="n">
        <v>5065</v>
      </c>
      <c r="B594" s="8" t="n">
        <v>123</v>
      </c>
      <c r="C594" s="8" t="str">
        <f aca="false">IFERROR(INDEX('Project Classifications'!$B$2:$B$231,MATCH(B594,'Project Classifications'!$A$2:$A$231,0)),"")</f>
        <v>Energy Democracy in Northeastern North America</v>
      </c>
      <c r="D594" s="8" t="s">
        <v>1175</v>
      </c>
      <c r="E594" s="8" t="s">
        <v>1172</v>
      </c>
      <c r="F594" s="8" t="s">
        <v>48</v>
      </c>
      <c r="G594" s="8" t="s">
        <v>50</v>
      </c>
      <c r="H594" s="8" t="s">
        <v>49</v>
      </c>
      <c r="I594" s="9" t="n">
        <v>0.125</v>
      </c>
      <c r="J594" s="8" t="s">
        <v>33</v>
      </c>
    </row>
    <row r="595" customFormat="false" ht="15" hidden="false" customHeight="false" outlineLevel="0" collapsed="false">
      <c r="A595" s="8" t="n">
        <v>5066</v>
      </c>
      <c r="B595" s="8" t="n">
        <v>123</v>
      </c>
      <c r="C595" s="8" t="str">
        <f aca="false">IFERROR(INDEX('Project Classifications'!$B$2:$B$231,MATCH(B595,'Project Classifications'!$A$2:$A$231,0)),"")</f>
        <v>Energy Democracy in Northeastern North America</v>
      </c>
      <c r="D595" s="8" t="s">
        <v>1176</v>
      </c>
      <c r="E595" s="8" t="s">
        <v>1174</v>
      </c>
      <c r="F595" s="8" t="s">
        <v>48</v>
      </c>
      <c r="G595" s="8" t="s">
        <v>50</v>
      </c>
      <c r="H595" s="8" t="s">
        <v>49</v>
      </c>
      <c r="I595" s="9" t="n">
        <v>0.125</v>
      </c>
      <c r="J595" s="8" t="s">
        <v>33</v>
      </c>
    </row>
    <row r="596" customFormat="false" ht="15" hidden="false" customHeight="false" outlineLevel="0" collapsed="false">
      <c r="A596" s="8" t="n">
        <v>5113</v>
      </c>
      <c r="B596" s="8" t="n">
        <v>123</v>
      </c>
      <c r="C596" s="8" t="str">
        <f aca="false">IFERROR(INDEX('Project Classifications'!$B$2:$B$231,MATCH(B596,'Project Classifications'!$A$2:$A$231,0)),"")</f>
        <v>Energy Democracy in Northeastern North America</v>
      </c>
      <c r="D596" s="8" t="s">
        <v>1177</v>
      </c>
      <c r="E596" s="8" t="s">
        <v>955</v>
      </c>
      <c r="F596" s="8" t="s">
        <v>30</v>
      </c>
      <c r="G596" s="8" t="s">
        <v>32</v>
      </c>
      <c r="H596" s="8" t="s">
        <v>31</v>
      </c>
      <c r="I596" s="9" t="n">
        <v>0.0588235294117647</v>
      </c>
      <c r="J596" s="8" t="s">
        <v>33</v>
      </c>
    </row>
    <row r="597" customFormat="false" ht="15" hidden="false" customHeight="false" outlineLevel="0" collapsed="false">
      <c r="A597" s="8" t="n">
        <v>5114</v>
      </c>
      <c r="B597" s="8" t="n">
        <v>123</v>
      </c>
      <c r="C597" s="8" t="str">
        <f aca="false">IFERROR(INDEX('Project Classifications'!$B$2:$B$231,MATCH(B597,'Project Classifications'!$A$2:$A$231,0)),"")</f>
        <v>Energy Democracy in Northeastern North America</v>
      </c>
      <c r="D597" s="8" t="s">
        <v>1178</v>
      </c>
      <c r="E597" s="8" t="s">
        <v>1179</v>
      </c>
      <c r="F597" s="8" t="s">
        <v>48</v>
      </c>
      <c r="G597" s="8" t="s">
        <v>50</v>
      </c>
      <c r="H597" s="8" t="s">
        <v>49</v>
      </c>
      <c r="I597" s="9" t="n">
        <v>0</v>
      </c>
      <c r="J597" s="8" t="s">
        <v>741</v>
      </c>
    </row>
    <row r="598" customFormat="false" ht="15" hidden="false" customHeight="false" outlineLevel="0" collapsed="false">
      <c r="A598" s="8" t="n">
        <v>5115</v>
      </c>
      <c r="B598" s="8" t="n">
        <v>123</v>
      </c>
      <c r="C598" s="8" t="str">
        <f aca="false">IFERROR(INDEX('Project Classifications'!$B$2:$B$231,MATCH(B598,'Project Classifications'!$A$2:$A$231,0)),"")</f>
        <v>Energy Democracy in Northeastern North America</v>
      </c>
      <c r="D598" s="8" t="s">
        <v>1180</v>
      </c>
      <c r="E598" s="8" t="s">
        <v>600</v>
      </c>
      <c r="F598" s="8" t="s">
        <v>30</v>
      </c>
      <c r="G598" s="8" t="s">
        <v>32</v>
      </c>
      <c r="H598" s="8" t="s">
        <v>31</v>
      </c>
      <c r="I598" s="9" t="n">
        <v>0.0588235294117647</v>
      </c>
      <c r="J598" s="8" t="s">
        <v>33</v>
      </c>
    </row>
    <row r="599" customFormat="false" ht="15" hidden="false" customHeight="false" outlineLevel="0" collapsed="false">
      <c r="A599" s="8" t="n">
        <v>5122</v>
      </c>
      <c r="B599" s="8" t="n">
        <v>123</v>
      </c>
      <c r="C599" s="8" t="str">
        <f aca="false">IFERROR(INDEX('Project Classifications'!$B$2:$B$231,MATCH(B599,'Project Classifications'!$A$2:$A$231,0)),"")</f>
        <v>Energy Democracy in Northeastern North America</v>
      </c>
      <c r="D599" s="8" t="s">
        <v>1181</v>
      </c>
      <c r="E599" s="8" t="s">
        <v>574</v>
      </c>
      <c r="F599" s="8" t="s">
        <v>53</v>
      </c>
      <c r="G599" s="8" t="s">
        <v>55</v>
      </c>
      <c r="H599" s="8" t="s">
        <v>56</v>
      </c>
      <c r="I599" s="9" t="n">
        <v>0.285714285714286</v>
      </c>
      <c r="J599" s="8" t="s">
        <v>33</v>
      </c>
    </row>
    <row r="600" customFormat="false" ht="15" hidden="false" customHeight="false" outlineLevel="0" collapsed="false">
      <c r="A600" s="8" t="n">
        <v>5123</v>
      </c>
      <c r="B600" s="8" t="n">
        <v>124</v>
      </c>
      <c r="C600" s="8" t="str">
        <f aca="false">IFERROR(INDEX('Project Classifications'!$B$2:$B$231,MATCH(B600,'Project Classifications'!$A$2:$A$231,0)),"")</f>
        <v>Data for: Preferences for On-demand/Intermittent/Event-driven and Long-acting Injectable HIV Pre-exposure Prophylaxis (PrEP) among HIV-negative Black Gay, Bisexual, and other Sexual Minority Men in the United States: A Qualitative Study</v>
      </c>
      <c r="D600" s="8" t="s">
        <v>1182</v>
      </c>
      <c r="E600" s="8" t="s">
        <v>562</v>
      </c>
      <c r="F600" s="8" t="s">
        <v>71</v>
      </c>
      <c r="G600" s="8" t="s">
        <v>73</v>
      </c>
      <c r="H600" s="8" t="s">
        <v>74</v>
      </c>
      <c r="I600" s="9" t="n">
        <v>0.0714285714285714</v>
      </c>
      <c r="J600" s="8" t="s">
        <v>33</v>
      </c>
    </row>
    <row r="601" customFormat="false" ht="15" hidden="false" customHeight="false" outlineLevel="0" collapsed="false">
      <c r="A601" s="8" t="n">
        <v>5124</v>
      </c>
      <c r="B601" s="8" t="n">
        <v>124</v>
      </c>
      <c r="C601" s="8" t="str">
        <f aca="false">IFERROR(INDEX('Project Classifications'!$B$2:$B$231,MATCH(B601,'Project Classifications'!$A$2:$A$231,0)),"")</f>
        <v>Data for: Preferences for On-demand/Intermittent/Event-driven and Long-acting Injectable HIV Pre-exposure Prophylaxis (PrEP) among HIV-negative Black Gay, Bisexual, and other Sexual Minority Men in the United States: A Qualitative Study</v>
      </c>
      <c r="D601" s="8" t="s">
        <v>1183</v>
      </c>
      <c r="E601" s="8" t="s">
        <v>562</v>
      </c>
      <c r="F601" s="8" t="s">
        <v>71</v>
      </c>
      <c r="G601" s="8" t="s">
        <v>73</v>
      </c>
      <c r="H601" s="8" t="s">
        <v>74</v>
      </c>
      <c r="I601" s="9" t="n">
        <v>0.0714285714285714</v>
      </c>
      <c r="J601" s="8" t="s">
        <v>33</v>
      </c>
    </row>
    <row r="602" customFormat="false" ht="15" hidden="false" customHeight="false" outlineLevel="0" collapsed="false">
      <c r="A602" s="8" t="n">
        <v>5127</v>
      </c>
      <c r="B602" s="8" t="n">
        <v>124</v>
      </c>
      <c r="C602" s="8" t="str">
        <f aca="false">IFERROR(INDEX('Project Classifications'!$B$2:$B$231,MATCH(B602,'Project Classifications'!$A$2:$A$231,0)),"")</f>
        <v>Data for: Preferences for On-demand/Intermittent/Event-driven and Long-acting Injectable HIV Pre-exposure Prophylaxis (PrEP) among HIV-negative Black Gay, Bisexual, and other Sexual Minority Men in the United States: A Qualitative Study</v>
      </c>
      <c r="D602" s="8" t="s">
        <v>1184</v>
      </c>
      <c r="E602" s="8" t="s">
        <v>562</v>
      </c>
      <c r="F602" s="8" t="s">
        <v>42</v>
      </c>
      <c r="G602" s="8" t="s">
        <v>44</v>
      </c>
      <c r="H602" s="8" t="s">
        <v>45</v>
      </c>
      <c r="I602" s="9" t="n">
        <v>0.222222222222222</v>
      </c>
      <c r="J602" s="8" t="s">
        <v>33</v>
      </c>
    </row>
    <row r="603" customFormat="false" ht="15" hidden="false" customHeight="false" outlineLevel="0" collapsed="false">
      <c r="A603" s="8" t="n">
        <v>5128</v>
      </c>
      <c r="B603" s="8" t="n">
        <v>124</v>
      </c>
      <c r="C603" s="8" t="str">
        <f aca="false">IFERROR(INDEX('Project Classifications'!$B$2:$B$231,MATCH(B603,'Project Classifications'!$A$2:$A$231,0)),"")</f>
        <v>Data for: Preferences for On-demand/Intermittent/Event-driven and Long-acting Injectable HIV Pre-exposure Prophylaxis (PrEP) among HIV-negative Black Gay, Bisexual, and other Sexual Minority Men in the United States: A Qualitative Study</v>
      </c>
      <c r="D603" s="8" t="s">
        <v>1185</v>
      </c>
      <c r="E603" s="8" t="s">
        <v>574</v>
      </c>
      <c r="F603" s="8" t="s">
        <v>53</v>
      </c>
      <c r="G603" s="8" t="s">
        <v>55</v>
      </c>
      <c r="H603" s="8" t="s">
        <v>56</v>
      </c>
      <c r="I603" s="9" t="n">
        <v>0.285714285714286</v>
      </c>
      <c r="J603" s="8" t="s">
        <v>33</v>
      </c>
    </row>
    <row r="604" customFormat="false" ht="15" hidden="false" customHeight="false" outlineLevel="0" collapsed="false">
      <c r="A604" s="8" t="n">
        <v>5129</v>
      </c>
      <c r="B604" s="8" t="n">
        <v>125</v>
      </c>
      <c r="C604" s="8" t="str">
        <f aca="false">IFERROR(INDEX('Project Classifications'!$B$2:$B$231,MATCH(B604,'Project Classifications'!$A$2:$A$231,0)),"")</f>
        <v>Data for: Cheating and Plagiarism in Higher Education Institutions (HEIs): A Literature Review</v>
      </c>
      <c r="D604" s="8" t="s">
        <v>1186</v>
      </c>
      <c r="E604" s="8" t="s">
        <v>574</v>
      </c>
      <c r="F604" s="8" t="s">
        <v>53</v>
      </c>
      <c r="G604" s="8" t="s">
        <v>55</v>
      </c>
      <c r="H604" s="8" t="s">
        <v>56</v>
      </c>
      <c r="I604" s="9" t="n">
        <v>0.285714285714286</v>
      </c>
      <c r="J604" s="8" t="s">
        <v>33</v>
      </c>
    </row>
    <row r="605" customFormat="false" ht="15" hidden="false" customHeight="false" outlineLevel="0" collapsed="false">
      <c r="A605" s="8" t="n">
        <v>5130</v>
      </c>
      <c r="B605" s="8" t="n">
        <v>125</v>
      </c>
      <c r="C605" s="8" t="str">
        <f aca="false">IFERROR(INDEX('Project Classifications'!$B$2:$B$231,MATCH(B605,'Project Classifications'!$A$2:$A$231,0)),"")</f>
        <v>Data for: Cheating and Plagiarism in Higher Education Institutions (HEIs): A Literature Review</v>
      </c>
      <c r="D605" s="8" t="s">
        <v>1187</v>
      </c>
      <c r="E605" s="8" t="s">
        <v>778</v>
      </c>
      <c r="F605" s="8" t="s">
        <v>48</v>
      </c>
      <c r="G605" s="8" t="s">
        <v>50</v>
      </c>
      <c r="H605" s="8" t="s">
        <v>49</v>
      </c>
      <c r="I605" s="9" t="n">
        <v>0</v>
      </c>
      <c r="J605" s="8" t="s">
        <v>741</v>
      </c>
    </row>
    <row r="606" customFormat="false" ht="15" hidden="false" customHeight="false" outlineLevel="0" collapsed="false">
      <c r="A606" s="8" t="n">
        <v>5131</v>
      </c>
      <c r="B606" s="8" t="n">
        <v>125</v>
      </c>
      <c r="C606" s="8" t="str">
        <f aca="false">IFERROR(INDEX('Project Classifications'!$B$2:$B$231,MATCH(B606,'Project Classifications'!$A$2:$A$231,0)),"")</f>
        <v>Data for: Cheating and Plagiarism in Higher Education Institutions (HEIs): A Literature Review</v>
      </c>
      <c r="D606" s="8" t="s">
        <v>1188</v>
      </c>
      <c r="E606" s="8" t="s">
        <v>600</v>
      </c>
      <c r="F606" s="8" t="s">
        <v>48</v>
      </c>
      <c r="G606" s="8" t="s">
        <v>50</v>
      </c>
      <c r="H606" s="8" t="s">
        <v>49</v>
      </c>
      <c r="I606" s="9" t="n">
        <v>0.5625</v>
      </c>
      <c r="J606" s="8" t="s">
        <v>33</v>
      </c>
    </row>
    <row r="607" customFormat="false" ht="15" hidden="false" customHeight="false" outlineLevel="0" collapsed="false">
      <c r="A607" s="8" t="n">
        <v>5132</v>
      </c>
      <c r="B607" s="8" t="n">
        <v>125</v>
      </c>
      <c r="C607" s="8" t="str">
        <f aca="false">IFERROR(INDEX('Project Classifications'!$B$2:$B$231,MATCH(B607,'Project Classifications'!$A$2:$A$231,0)),"")</f>
        <v>Data for: Cheating and Plagiarism in Higher Education Institutions (HEIs): A Literature Review</v>
      </c>
      <c r="D607" s="8" t="s">
        <v>1189</v>
      </c>
      <c r="E607" s="8" t="s">
        <v>778</v>
      </c>
      <c r="F607" s="8" t="s">
        <v>48</v>
      </c>
      <c r="G607" s="8" t="s">
        <v>50</v>
      </c>
      <c r="H607" s="8" t="s">
        <v>49</v>
      </c>
      <c r="I607" s="9" t="n">
        <v>0</v>
      </c>
      <c r="J607" s="8" t="s">
        <v>741</v>
      </c>
    </row>
    <row r="608" customFormat="false" ht="15" hidden="false" customHeight="false" outlineLevel="0" collapsed="false">
      <c r="A608" s="8" t="n">
        <v>5133</v>
      </c>
      <c r="B608" s="8" t="n">
        <v>125</v>
      </c>
      <c r="C608" s="8" t="str">
        <f aca="false">IFERROR(INDEX('Project Classifications'!$B$2:$B$231,MATCH(B608,'Project Classifications'!$A$2:$A$231,0)),"")</f>
        <v>Data for: Cheating and Plagiarism in Higher Education Institutions (HEIs): A Literature Review</v>
      </c>
      <c r="D608" s="8" t="s">
        <v>1190</v>
      </c>
      <c r="E608" s="8" t="s">
        <v>562</v>
      </c>
      <c r="F608" s="8" t="s">
        <v>305</v>
      </c>
      <c r="G608" s="8" t="s">
        <v>307</v>
      </c>
      <c r="H608" s="8" t="s">
        <v>306</v>
      </c>
      <c r="I608" s="9" t="n">
        <v>0</v>
      </c>
      <c r="J608" s="8" t="s">
        <v>33</v>
      </c>
    </row>
    <row r="609" customFormat="false" ht="15" hidden="false" customHeight="false" outlineLevel="0" collapsed="false">
      <c r="A609" s="8" t="n">
        <v>5134</v>
      </c>
      <c r="B609" s="8" t="n">
        <v>125</v>
      </c>
      <c r="C609" s="8" t="str">
        <f aca="false">IFERROR(INDEX('Project Classifications'!$B$2:$B$231,MATCH(B609,'Project Classifications'!$A$2:$A$231,0)),"")</f>
        <v>Data for: Cheating and Plagiarism in Higher Education Institutions (HEIs): A Literature Review</v>
      </c>
      <c r="D609" s="8" t="s">
        <v>1191</v>
      </c>
      <c r="E609" s="8" t="s">
        <v>562</v>
      </c>
      <c r="F609" s="8" t="s">
        <v>71</v>
      </c>
      <c r="G609" s="8" t="s">
        <v>83</v>
      </c>
      <c r="H609" s="8" t="s">
        <v>84</v>
      </c>
      <c r="I609" s="9" t="n">
        <v>0.25</v>
      </c>
      <c r="J609" s="8" t="s">
        <v>33</v>
      </c>
    </row>
    <row r="610" customFormat="false" ht="15" hidden="false" customHeight="false" outlineLevel="0" collapsed="false">
      <c r="A610" s="8" t="n">
        <v>5374</v>
      </c>
      <c r="B610" s="8" t="n">
        <v>127</v>
      </c>
      <c r="C610" s="8" t="str">
        <f aca="false">IFERROR(INDEX('Project Classifications'!$B$2:$B$231,MATCH(B610,'Project Classifications'!$A$2:$A$231,0)),"")</f>
        <v>Data for: Culture in la clínica: Evaluating the utility of the Cultural Formulation Interview (CFI) in a Mexican outpatient setting</v>
      </c>
      <c r="D610" s="8" t="s">
        <v>653</v>
      </c>
      <c r="E610" s="8" t="s">
        <v>654</v>
      </c>
      <c r="F610" s="8" t="s">
        <v>42</v>
      </c>
      <c r="G610" s="8" t="s">
        <v>44</v>
      </c>
      <c r="H610" s="8" t="s">
        <v>45</v>
      </c>
      <c r="I610" s="9" t="n">
        <v>0.444444444444444</v>
      </c>
      <c r="J610" s="8" t="s">
        <v>33</v>
      </c>
    </row>
    <row r="611" customFormat="false" ht="15" hidden="false" customHeight="false" outlineLevel="0" collapsed="false">
      <c r="A611" s="8" t="n">
        <v>5375</v>
      </c>
      <c r="B611" s="8" t="n">
        <v>128</v>
      </c>
      <c r="C611" s="8" t="str">
        <f aca="false">IFERROR(INDEX('Project Classifications'!$B$2:$B$231,MATCH(B611,'Project Classifications'!$A$2:$A$231,0)),"")</f>
        <v>A qualitative study on the experiences and perspectives of public sector patients in Cape Town in managing the workload of demands of HIV and type 2 diabetes multimorbidity</v>
      </c>
      <c r="D611" s="8" t="s">
        <v>1192</v>
      </c>
      <c r="E611" s="8" t="s">
        <v>562</v>
      </c>
      <c r="F611" s="8" t="s">
        <v>42</v>
      </c>
      <c r="G611" s="8" t="s">
        <v>44</v>
      </c>
      <c r="H611" s="8" t="s">
        <v>45</v>
      </c>
      <c r="I611" s="9" t="n">
        <v>0.333333333333333</v>
      </c>
      <c r="J611" s="8" t="s">
        <v>33</v>
      </c>
    </row>
    <row r="612" customFormat="false" ht="15" hidden="false" customHeight="false" outlineLevel="0" collapsed="false">
      <c r="A612" s="8" t="n">
        <v>5376</v>
      </c>
      <c r="B612" s="8" t="n">
        <v>128</v>
      </c>
      <c r="C612" s="8" t="str">
        <f aca="false">IFERROR(INDEX('Project Classifications'!$B$2:$B$231,MATCH(B612,'Project Classifications'!$A$2:$A$231,0)),"")</f>
        <v>A qualitative study on the experiences and perspectives of public sector patients in Cape Town in managing the workload of demands of HIV and type 2 diabetes multimorbidity</v>
      </c>
      <c r="D612" s="8" t="s">
        <v>1193</v>
      </c>
      <c r="E612" s="8" t="s">
        <v>562</v>
      </c>
      <c r="F612" s="8" t="s">
        <v>42</v>
      </c>
      <c r="G612" s="8" t="s">
        <v>44</v>
      </c>
      <c r="H612" s="8" t="s">
        <v>45</v>
      </c>
      <c r="I612" s="9" t="n">
        <v>0.222222222222222</v>
      </c>
      <c r="J612" s="8" t="s">
        <v>33</v>
      </c>
    </row>
    <row r="613" customFormat="false" ht="15" hidden="false" customHeight="false" outlineLevel="0" collapsed="false">
      <c r="A613" s="8" t="n">
        <v>5377</v>
      </c>
      <c r="B613" s="8" t="n">
        <v>128</v>
      </c>
      <c r="C613" s="8" t="str">
        <f aca="false">IFERROR(INDEX('Project Classifications'!$B$2:$B$231,MATCH(B613,'Project Classifications'!$A$2:$A$231,0)),"")</f>
        <v>A qualitative study on the experiences and perspectives of public sector patients in Cape Town in managing the workload of demands of HIV and type 2 diabetes multimorbidity</v>
      </c>
      <c r="D613" s="8" t="s">
        <v>1194</v>
      </c>
      <c r="E613" s="8" t="s">
        <v>574</v>
      </c>
      <c r="F613" s="8" t="s">
        <v>53</v>
      </c>
      <c r="G613" s="8" t="s">
        <v>55</v>
      </c>
      <c r="H613" s="8" t="s">
        <v>56</v>
      </c>
      <c r="I613" s="9" t="n">
        <v>0.285714285714286</v>
      </c>
      <c r="J613" s="8" t="s">
        <v>33</v>
      </c>
    </row>
    <row r="614" customFormat="false" ht="15" hidden="false" customHeight="false" outlineLevel="0" collapsed="false">
      <c r="A614" s="8" t="n">
        <v>5394</v>
      </c>
      <c r="B614" s="8" t="n">
        <v>129</v>
      </c>
      <c r="C614" s="8" t="str">
        <f aca="false">IFERROR(INDEX('Project Classifications'!$B$2:$B$231,MATCH(B614,'Project Classifications'!$A$2:$A$231,0)),"")</f>
        <v>Online Appendices for: "Insurgent Recruitment Practices and Combat Effectiveness in Civil War: The Black September Conflict in Jordan"</v>
      </c>
      <c r="D614" s="8" t="s">
        <v>1195</v>
      </c>
      <c r="E614" s="8" t="s">
        <v>562</v>
      </c>
      <c r="F614" s="8" t="s">
        <v>97</v>
      </c>
      <c r="G614" s="8" t="s">
        <v>99</v>
      </c>
      <c r="H614" s="8" t="s">
        <v>100</v>
      </c>
      <c r="I614" s="9" t="n">
        <v>0.142857142857143</v>
      </c>
      <c r="J614" s="8" t="s">
        <v>33</v>
      </c>
    </row>
    <row r="615" customFormat="false" ht="15" hidden="false" customHeight="false" outlineLevel="0" collapsed="false">
      <c r="A615" s="8" t="n">
        <v>5395</v>
      </c>
      <c r="B615" s="8" t="n">
        <v>129</v>
      </c>
      <c r="C615" s="8" t="str">
        <f aca="false">IFERROR(INDEX('Project Classifications'!$B$2:$B$231,MATCH(B615,'Project Classifications'!$A$2:$A$231,0)),"")</f>
        <v>Online Appendices for: "Insurgent Recruitment Practices and Combat Effectiveness in Civil War: The Black September Conflict in Jordan"</v>
      </c>
      <c r="D615" s="8" t="s">
        <v>1196</v>
      </c>
      <c r="E615" s="8" t="s">
        <v>574</v>
      </c>
      <c r="F615" s="8" t="s">
        <v>53</v>
      </c>
      <c r="G615" s="8" t="s">
        <v>55</v>
      </c>
      <c r="H615" s="8" t="s">
        <v>56</v>
      </c>
      <c r="I615" s="9" t="n">
        <v>0.285714285714286</v>
      </c>
      <c r="J615" s="8" t="s">
        <v>33</v>
      </c>
    </row>
    <row r="616" customFormat="false" ht="15" hidden="false" customHeight="false" outlineLevel="0" collapsed="false">
      <c r="A616" s="8" t="n">
        <v>5396</v>
      </c>
      <c r="B616" s="8" t="n">
        <v>130</v>
      </c>
      <c r="C616" s="8" t="str">
        <f aca="false">IFERROR(INDEX('Project Classifications'!$B$2:$B$231,MATCH(B616,'Project Classifications'!$A$2:$A$231,0)),"")</f>
        <v>Water Insecurity and Gender Based Violence: Exploring Links and Steps for Prevention. A Comparative Study of Indonesian and Peruvian Women. HWISE+GBV</v>
      </c>
      <c r="D616" s="8" t="s">
        <v>1197</v>
      </c>
      <c r="E616" s="8" t="s">
        <v>574</v>
      </c>
      <c r="F616" s="8" t="s">
        <v>53</v>
      </c>
      <c r="G616" s="8" t="s">
        <v>55</v>
      </c>
      <c r="H616" s="8" t="s">
        <v>56</v>
      </c>
      <c r="I616" s="9" t="n">
        <v>0.285714285714286</v>
      </c>
      <c r="J616" s="8" t="s">
        <v>33</v>
      </c>
    </row>
    <row r="617" customFormat="false" ht="15" hidden="false" customHeight="false" outlineLevel="0" collapsed="false">
      <c r="A617" s="8" t="n">
        <v>5398</v>
      </c>
      <c r="B617" s="8" t="n">
        <v>130</v>
      </c>
      <c r="C617" s="8" t="str">
        <f aca="false">IFERROR(INDEX('Project Classifications'!$B$2:$B$231,MATCH(B617,'Project Classifications'!$A$2:$A$231,0)),"")</f>
        <v>Water Insecurity and Gender Based Violence: Exploring Links and Steps for Prevention. A Comparative Study of Indonesian and Peruvian Women. HWISE+GBV</v>
      </c>
      <c r="D617" s="8" t="s">
        <v>1198</v>
      </c>
      <c r="E617" s="8" t="s">
        <v>562</v>
      </c>
      <c r="F617" s="8" t="s">
        <v>42</v>
      </c>
      <c r="G617" s="8" t="s">
        <v>44</v>
      </c>
      <c r="H617" s="8" t="s">
        <v>45</v>
      </c>
      <c r="I617" s="9" t="n">
        <v>0.166666666666667</v>
      </c>
      <c r="J617" s="8" t="s">
        <v>33</v>
      </c>
    </row>
    <row r="618" customFormat="false" ht="15" hidden="false" customHeight="false" outlineLevel="0" collapsed="false">
      <c r="A618" s="8" t="n">
        <v>5399</v>
      </c>
      <c r="B618" s="8" t="n">
        <v>130</v>
      </c>
      <c r="C618" s="8" t="str">
        <f aca="false">IFERROR(INDEX('Project Classifications'!$B$2:$B$231,MATCH(B618,'Project Classifications'!$A$2:$A$231,0)),"")</f>
        <v>Water Insecurity and Gender Based Violence: Exploring Links and Steps for Prevention. A Comparative Study of Indonesian and Peruvian Women. HWISE+GBV</v>
      </c>
      <c r="D618" s="8" t="s">
        <v>1199</v>
      </c>
      <c r="E618" s="8" t="s">
        <v>562</v>
      </c>
      <c r="F618" s="8" t="s">
        <v>42</v>
      </c>
      <c r="G618" s="8" t="s">
        <v>44</v>
      </c>
      <c r="H618" s="8" t="s">
        <v>45</v>
      </c>
      <c r="I618" s="9" t="n">
        <v>0.0555555555555556</v>
      </c>
      <c r="J618" s="8" t="s">
        <v>33</v>
      </c>
    </row>
    <row r="619" customFormat="false" ht="15" hidden="false" customHeight="false" outlineLevel="0" collapsed="false">
      <c r="A619" s="8" t="n">
        <v>5400</v>
      </c>
      <c r="B619" s="8" t="n">
        <v>130</v>
      </c>
      <c r="C619" s="8" t="str">
        <f aca="false">IFERROR(INDEX('Project Classifications'!$B$2:$B$231,MATCH(B619,'Project Classifications'!$A$2:$A$231,0)),"")</f>
        <v>Water Insecurity and Gender Based Violence: Exploring Links and Steps for Prevention. A Comparative Study of Indonesian and Peruvian Women. HWISE+GBV</v>
      </c>
      <c r="D619" s="8" t="s">
        <v>1200</v>
      </c>
      <c r="E619" s="8" t="s">
        <v>562</v>
      </c>
      <c r="F619" s="8" t="s">
        <v>48</v>
      </c>
      <c r="G619" s="8" t="s">
        <v>50</v>
      </c>
      <c r="H619" s="8" t="s">
        <v>49</v>
      </c>
      <c r="I619" s="9" t="n">
        <v>0.125</v>
      </c>
      <c r="J619" s="8" t="s">
        <v>33</v>
      </c>
    </row>
    <row r="620" customFormat="false" ht="15" hidden="false" customHeight="false" outlineLevel="0" collapsed="false">
      <c r="A620" s="8" t="n">
        <v>5401</v>
      </c>
      <c r="B620" s="8" t="n">
        <v>130</v>
      </c>
      <c r="C620" s="8" t="str">
        <f aca="false">IFERROR(INDEX('Project Classifications'!$B$2:$B$231,MATCH(B620,'Project Classifications'!$A$2:$A$231,0)),"")</f>
        <v>Water Insecurity and Gender Based Violence: Exploring Links and Steps for Prevention. A Comparative Study of Indonesian and Peruvian Women. HWISE+GBV</v>
      </c>
      <c r="D620" s="8" t="s">
        <v>1201</v>
      </c>
      <c r="E620" s="8" t="s">
        <v>562</v>
      </c>
      <c r="F620" s="8" t="s">
        <v>71</v>
      </c>
      <c r="G620" s="8" t="s">
        <v>73</v>
      </c>
      <c r="H620" s="8" t="s">
        <v>74</v>
      </c>
      <c r="I620" s="9" t="n">
        <v>0.0714285714285714</v>
      </c>
      <c r="J620" s="8" t="s">
        <v>33</v>
      </c>
    </row>
    <row r="621" customFormat="false" ht="15" hidden="false" customHeight="false" outlineLevel="0" collapsed="false">
      <c r="A621" s="8" t="n">
        <v>5402</v>
      </c>
      <c r="B621" s="8" t="n">
        <v>130</v>
      </c>
      <c r="C621" s="8" t="str">
        <f aca="false">IFERROR(INDEX('Project Classifications'!$B$2:$B$231,MATCH(B621,'Project Classifications'!$A$2:$A$231,0)),"")</f>
        <v>Water Insecurity and Gender Based Violence: Exploring Links and Steps for Prevention. A Comparative Study of Indonesian and Peruvian Women. HWISE+GBV</v>
      </c>
      <c r="D621" s="8" t="s">
        <v>1202</v>
      </c>
      <c r="E621" s="8" t="s">
        <v>562</v>
      </c>
      <c r="F621" s="8" t="s">
        <v>339</v>
      </c>
      <c r="G621" s="8" t="s">
        <v>341</v>
      </c>
      <c r="H621" s="8" t="s">
        <v>342</v>
      </c>
      <c r="I621" s="9" t="n">
        <v>0.666666666666667</v>
      </c>
      <c r="J621" s="8" t="s">
        <v>33</v>
      </c>
    </row>
    <row r="622" customFormat="false" ht="15" hidden="false" customHeight="false" outlineLevel="0" collapsed="false">
      <c r="A622" s="8" t="n">
        <v>5403</v>
      </c>
      <c r="B622" s="8" t="n">
        <v>131</v>
      </c>
      <c r="C622" s="8" t="str">
        <f aca="false">IFERROR(INDEX('Project Classifications'!$B$2:$B$231,MATCH(B622,'Project Classifications'!$A$2:$A$231,0)),"")</f>
        <v>Adverse psychological effects amongst self-tested individuals living in couples in urban Blantyre, Malawi</v>
      </c>
      <c r="D622" s="8" t="s">
        <v>1203</v>
      </c>
      <c r="E622" s="8" t="s">
        <v>562</v>
      </c>
      <c r="F622" s="8" t="s">
        <v>305</v>
      </c>
      <c r="G622" s="8" t="s">
        <v>307</v>
      </c>
      <c r="H622" s="8" t="s">
        <v>306</v>
      </c>
      <c r="I622" s="9" t="n">
        <v>0</v>
      </c>
      <c r="J622" s="8" t="s">
        <v>33</v>
      </c>
    </row>
    <row r="623" customFormat="false" ht="15" hidden="false" customHeight="false" outlineLevel="0" collapsed="false">
      <c r="A623" s="8" t="n">
        <v>5404</v>
      </c>
      <c r="B623" s="8" t="n">
        <v>131</v>
      </c>
      <c r="C623" s="8" t="str">
        <f aca="false">IFERROR(INDEX('Project Classifications'!$B$2:$B$231,MATCH(B623,'Project Classifications'!$A$2:$A$231,0)),"")</f>
        <v>Adverse psychological effects amongst self-tested individuals living in couples in urban Blantyre, Malawi</v>
      </c>
      <c r="D623" s="8" t="s">
        <v>1204</v>
      </c>
      <c r="E623" s="8" t="s">
        <v>562</v>
      </c>
      <c r="F623" s="8" t="s">
        <v>42</v>
      </c>
      <c r="G623" s="8" t="s">
        <v>44</v>
      </c>
      <c r="H623" s="8" t="s">
        <v>45</v>
      </c>
      <c r="I623" s="9" t="n">
        <v>0.111111111111111</v>
      </c>
      <c r="J623" s="8" t="s">
        <v>33</v>
      </c>
    </row>
    <row r="624" customFormat="false" ht="15" hidden="false" customHeight="false" outlineLevel="0" collapsed="false">
      <c r="A624" s="8" t="n">
        <v>5440</v>
      </c>
      <c r="B624" s="8" t="n">
        <v>131</v>
      </c>
      <c r="C624" s="8" t="str">
        <f aca="false">IFERROR(INDEX('Project Classifications'!$B$2:$B$231,MATCH(B624,'Project Classifications'!$A$2:$A$231,0)),"")</f>
        <v>Adverse psychological effects amongst self-tested individuals living in couples in urban Blantyre, Malawi</v>
      </c>
      <c r="D624" s="8" t="s">
        <v>1205</v>
      </c>
      <c r="E624" s="8" t="s">
        <v>574</v>
      </c>
      <c r="F624" s="8" t="s">
        <v>53</v>
      </c>
      <c r="G624" s="8" t="s">
        <v>55</v>
      </c>
      <c r="H624" s="8" t="s">
        <v>56</v>
      </c>
      <c r="I624" s="9" t="n">
        <v>0.285714285714286</v>
      </c>
      <c r="J624" s="8" t="s">
        <v>33</v>
      </c>
    </row>
    <row r="625" customFormat="false" ht="15" hidden="false" customHeight="false" outlineLevel="0" collapsed="false">
      <c r="A625" s="8" t="n">
        <v>5441</v>
      </c>
      <c r="B625" s="8" t="n">
        <v>132</v>
      </c>
      <c r="C625" s="8" t="str">
        <f aca="false">IFERROR(INDEX('Project Classifications'!$B$2:$B$231,MATCH(B625,'Project Classifications'!$A$2:$A$231,0)),"")</f>
        <v>Data for: Perceptions of stigma and discrimination in health care settings towards Sub-saharan African migrant women living with hiv/aids in Belgium: A qualitative study</v>
      </c>
      <c r="D625" s="8" t="s">
        <v>653</v>
      </c>
      <c r="E625" s="8" t="s">
        <v>654</v>
      </c>
      <c r="F625" s="8" t="s">
        <v>42</v>
      </c>
      <c r="G625" s="8" t="s">
        <v>44</v>
      </c>
      <c r="H625" s="8" t="s">
        <v>45</v>
      </c>
      <c r="I625" s="9" t="n">
        <v>0.277777777777778</v>
      </c>
      <c r="J625" s="8" t="s">
        <v>33</v>
      </c>
    </row>
    <row r="626" customFormat="false" ht="15" hidden="false" customHeight="false" outlineLevel="0" collapsed="false">
      <c r="A626" s="8" t="n">
        <v>5442</v>
      </c>
      <c r="B626" s="8" t="n">
        <v>132</v>
      </c>
      <c r="C626" s="8" t="str">
        <f aca="false">IFERROR(INDEX('Project Classifications'!$B$2:$B$231,MATCH(B626,'Project Classifications'!$A$2:$A$231,0)),"")</f>
        <v>Data for: Perceptions of stigma and discrimination in health care settings towards Sub-saharan African migrant women living with hiv/aids in Belgium: A qualitative study</v>
      </c>
      <c r="D626" s="8" t="s">
        <v>1206</v>
      </c>
      <c r="E626" s="8" t="s">
        <v>562</v>
      </c>
      <c r="F626" s="8" t="s">
        <v>42</v>
      </c>
      <c r="G626" s="8" t="s">
        <v>44</v>
      </c>
      <c r="H626" s="8" t="s">
        <v>45</v>
      </c>
      <c r="I626" s="9" t="n">
        <v>0.611111111111111</v>
      </c>
      <c r="J626" s="8" t="s">
        <v>33</v>
      </c>
    </row>
    <row r="627" customFormat="false" ht="15" hidden="false" customHeight="false" outlineLevel="0" collapsed="false">
      <c r="A627" s="8" t="n">
        <v>5448</v>
      </c>
      <c r="B627" s="8" t="n">
        <v>133</v>
      </c>
      <c r="C627" s="8" t="str">
        <f aca="false">IFERROR(INDEX('Project Classifications'!$B$2:$B$231,MATCH(B627,'Project Classifications'!$A$2:$A$231,0)),"")</f>
        <v>Data for: Acceptability and Feasibility of Video-based Health Education for Maternal and Infant Health in Dirashe District, South Ethiopia: A Qualitative Study</v>
      </c>
      <c r="D627" s="8" t="s">
        <v>1207</v>
      </c>
      <c r="E627" s="8" t="s">
        <v>562</v>
      </c>
      <c r="F627" s="8" t="s">
        <v>42</v>
      </c>
      <c r="G627" s="8" t="s">
        <v>44</v>
      </c>
      <c r="H627" s="8" t="s">
        <v>45</v>
      </c>
      <c r="I627" s="9" t="n">
        <v>0.111111111111111</v>
      </c>
      <c r="J627" s="8" t="s">
        <v>33</v>
      </c>
    </row>
    <row r="628" customFormat="false" ht="15" hidden="false" customHeight="false" outlineLevel="0" collapsed="false">
      <c r="A628" s="8" t="n">
        <v>5449</v>
      </c>
      <c r="B628" s="8" t="n">
        <v>133</v>
      </c>
      <c r="C628" s="8" t="str">
        <f aca="false">IFERROR(INDEX('Project Classifications'!$B$2:$B$231,MATCH(B628,'Project Classifications'!$A$2:$A$231,0)),"")</f>
        <v>Data for: Acceptability and Feasibility of Video-based Health Education for Maternal and Infant Health in Dirashe District, South Ethiopia: A Qualitative Study</v>
      </c>
      <c r="D628" s="8" t="s">
        <v>1208</v>
      </c>
      <c r="E628" s="8" t="s">
        <v>562</v>
      </c>
      <c r="F628" s="8" t="s">
        <v>48</v>
      </c>
      <c r="G628" s="8" t="s">
        <v>50</v>
      </c>
      <c r="H628" s="8" t="s">
        <v>49</v>
      </c>
      <c r="I628" s="9" t="n">
        <v>0.125</v>
      </c>
      <c r="J628" s="8" t="s">
        <v>33</v>
      </c>
    </row>
    <row r="629" customFormat="false" ht="15" hidden="false" customHeight="false" outlineLevel="0" collapsed="false">
      <c r="A629" s="8" t="n">
        <v>5450</v>
      </c>
      <c r="B629" s="8" t="n">
        <v>133</v>
      </c>
      <c r="C629" s="8" t="str">
        <f aca="false">IFERROR(INDEX('Project Classifications'!$B$2:$B$231,MATCH(B629,'Project Classifications'!$A$2:$A$231,0)),"")</f>
        <v>Data for: Acceptability and Feasibility of Video-based Health Education for Maternal and Infant Health in Dirashe District, South Ethiopia: A Qualitative Study</v>
      </c>
      <c r="D629" s="8" t="s">
        <v>1209</v>
      </c>
      <c r="E629" s="8" t="s">
        <v>562</v>
      </c>
      <c r="F629" s="8" t="s">
        <v>42</v>
      </c>
      <c r="G629" s="8" t="s">
        <v>44</v>
      </c>
      <c r="H629" s="8" t="s">
        <v>45</v>
      </c>
      <c r="I629" s="9" t="n">
        <v>0.111111111111111</v>
      </c>
      <c r="J629" s="8" t="s">
        <v>33</v>
      </c>
    </row>
    <row r="630" customFormat="false" ht="15" hidden="false" customHeight="false" outlineLevel="0" collapsed="false">
      <c r="A630" s="8" t="n">
        <v>5451</v>
      </c>
      <c r="B630" s="8" t="n">
        <v>133</v>
      </c>
      <c r="C630" s="8" t="str">
        <f aca="false">IFERROR(INDEX('Project Classifications'!$B$2:$B$231,MATCH(B630,'Project Classifications'!$A$2:$A$231,0)),"")</f>
        <v>Data for: Acceptability and Feasibility of Video-based Health Education for Maternal and Infant Health in Dirashe District, South Ethiopia: A Qualitative Study</v>
      </c>
      <c r="D630" s="8" t="s">
        <v>1210</v>
      </c>
      <c r="E630" s="8" t="s">
        <v>562</v>
      </c>
      <c r="F630" s="8" t="s">
        <v>445</v>
      </c>
      <c r="G630" s="8" t="s">
        <v>447</v>
      </c>
      <c r="H630" s="8" t="s">
        <v>448</v>
      </c>
      <c r="I630" s="9" t="n">
        <v>0.25</v>
      </c>
      <c r="J630" s="8" t="s">
        <v>33</v>
      </c>
    </row>
    <row r="631" customFormat="false" ht="15" hidden="false" customHeight="false" outlineLevel="0" collapsed="false">
      <c r="A631" s="8" t="n">
        <v>5452</v>
      </c>
      <c r="B631" s="8" t="n">
        <v>133</v>
      </c>
      <c r="C631" s="8" t="str">
        <f aca="false">IFERROR(INDEX('Project Classifications'!$B$2:$B$231,MATCH(B631,'Project Classifications'!$A$2:$A$231,0)),"")</f>
        <v>Data for: Acceptability and Feasibility of Video-based Health Education for Maternal and Infant Health in Dirashe District, South Ethiopia: A Qualitative Study</v>
      </c>
      <c r="D631" s="8" t="s">
        <v>1211</v>
      </c>
      <c r="E631" s="8" t="s">
        <v>562</v>
      </c>
      <c r="F631" s="8" t="s">
        <v>71</v>
      </c>
      <c r="G631" s="8" t="s">
        <v>73</v>
      </c>
      <c r="H631" s="8" t="s">
        <v>74</v>
      </c>
      <c r="I631" s="9" t="n">
        <v>0.0714285714285714</v>
      </c>
      <c r="J631" s="8" t="s">
        <v>33</v>
      </c>
    </row>
    <row r="632" customFormat="false" ht="15" hidden="false" customHeight="false" outlineLevel="0" collapsed="false">
      <c r="A632" s="8" t="n">
        <v>5453</v>
      </c>
      <c r="B632" s="8" t="n">
        <v>133</v>
      </c>
      <c r="C632" s="8" t="str">
        <f aca="false">IFERROR(INDEX('Project Classifications'!$B$2:$B$231,MATCH(B632,'Project Classifications'!$A$2:$A$231,0)),"")</f>
        <v>Data for: Acceptability and Feasibility of Video-based Health Education for Maternal and Infant Health in Dirashe District, South Ethiopia: A Qualitative Study</v>
      </c>
      <c r="D632" s="8" t="s">
        <v>1212</v>
      </c>
      <c r="E632" s="8" t="s">
        <v>562</v>
      </c>
      <c r="F632" s="8" t="s">
        <v>71</v>
      </c>
      <c r="G632" s="8" t="s">
        <v>73</v>
      </c>
      <c r="H632" s="8" t="s">
        <v>74</v>
      </c>
      <c r="I632" s="9" t="n">
        <v>0.0714285714285714</v>
      </c>
      <c r="J632" s="8" t="s">
        <v>33</v>
      </c>
    </row>
    <row r="633" customFormat="false" ht="15" hidden="false" customHeight="false" outlineLevel="0" collapsed="false">
      <c r="A633" s="8" t="n">
        <v>5454</v>
      </c>
      <c r="B633" s="8" t="n">
        <v>133</v>
      </c>
      <c r="C633" s="8" t="str">
        <f aca="false">IFERROR(INDEX('Project Classifications'!$B$2:$B$231,MATCH(B633,'Project Classifications'!$A$2:$A$231,0)),"")</f>
        <v>Data for: Acceptability and Feasibility of Video-based Health Education for Maternal and Infant Health in Dirashe District, South Ethiopia: A Qualitative Study</v>
      </c>
      <c r="D633" s="8" t="s">
        <v>1213</v>
      </c>
      <c r="E633" s="8" t="s">
        <v>574</v>
      </c>
      <c r="F633" s="8" t="s">
        <v>53</v>
      </c>
      <c r="G633" s="8" t="s">
        <v>55</v>
      </c>
      <c r="H633" s="8" t="s">
        <v>56</v>
      </c>
      <c r="I633" s="9" t="n">
        <v>0.285714285714286</v>
      </c>
      <c r="J633" s="8" t="s">
        <v>33</v>
      </c>
    </row>
    <row r="634" customFormat="false" ht="15" hidden="false" customHeight="false" outlineLevel="0" collapsed="false">
      <c r="A634" s="8" t="n">
        <v>5455</v>
      </c>
      <c r="B634" s="8" t="n">
        <v>134</v>
      </c>
      <c r="C634" s="8" t="str">
        <f aca="false">IFERROR(INDEX('Project Classifications'!$B$2:$B$231,MATCH(B634,'Project Classifications'!$A$2:$A$231,0)),"")</f>
        <v>Data for: The unstoppable glottal: Tracking rapid change in an iconic British variable</v>
      </c>
      <c r="D634" s="8" t="s">
        <v>653</v>
      </c>
      <c r="E634" s="8" t="s">
        <v>654</v>
      </c>
      <c r="F634" s="8" t="s">
        <v>53</v>
      </c>
      <c r="G634" s="8" t="s">
        <v>55</v>
      </c>
      <c r="H634" s="8" t="s">
        <v>56</v>
      </c>
      <c r="I634" s="9" t="n">
        <v>0.142857142857143</v>
      </c>
      <c r="J634" s="8" t="s">
        <v>33</v>
      </c>
    </row>
    <row r="635" customFormat="false" ht="15" hidden="false" customHeight="false" outlineLevel="0" collapsed="false">
      <c r="A635" s="8" t="n">
        <v>5456</v>
      </c>
      <c r="B635" s="8" t="n">
        <v>134</v>
      </c>
      <c r="C635" s="8" t="str">
        <f aca="false">IFERROR(INDEX('Project Classifications'!$B$2:$B$231,MATCH(B635,'Project Classifications'!$A$2:$A$231,0)),"")</f>
        <v>Data for: The unstoppable glottal: Tracking rapid change in an iconic British variable</v>
      </c>
      <c r="D635" s="8" t="s">
        <v>1214</v>
      </c>
      <c r="E635" s="8" t="s">
        <v>562</v>
      </c>
      <c r="F635" s="8" t="s">
        <v>305</v>
      </c>
      <c r="G635" s="8" t="s">
        <v>307</v>
      </c>
      <c r="H635" s="8" t="s">
        <v>306</v>
      </c>
      <c r="I635" s="9" t="n">
        <v>0</v>
      </c>
      <c r="J635" s="8" t="s">
        <v>33</v>
      </c>
    </row>
    <row r="636" customFormat="false" ht="15" hidden="false" customHeight="false" outlineLevel="0" collapsed="false">
      <c r="A636" s="8" t="n">
        <v>5471</v>
      </c>
      <c r="B636" s="8" t="n">
        <v>134</v>
      </c>
      <c r="C636" s="8" t="str">
        <f aca="false">IFERROR(INDEX('Project Classifications'!$B$2:$B$231,MATCH(B636,'Project Classifications'!$A$2:$A$231,0)),"")</f>
        <v>Data for: The unstoppable glottal: Tracking rapid change in an iconic British variable</v>
      </c>
      <c r="D636" s="8" t="s">
        <v>1215</v>
      </c>
      <c r="E636" s="8" t="s">
        <v>562</v>
      </c>
      <c r="F636" s="8" t="s">
        <v>48</v>
      </c>
      <c r="G636" s="8" t="s">
        <v>50</v>
      </c>
      <c r="H636" s="8" t="s">
        <v>49</v>
      </c>
      <c r="I636" s="9" t="n">
        <v>0.0625</v>
      </c>
      <c r="J636" s="8" t="s">
        <v>33</v>
      </c>
    </row>
    <row r="637" customFormat="false" ht="15" hidden="false" customHeight="false" outlineLevel="0" collapsed="false">
      <c r="A637" s="8" t="n">
        <v>5711</v>
      </c>
      <c r="B637" s="8" t="n">
        <v>136</v>
      </c>
      <c r="C637" s="8" t="str">
        <f aca="false">IFERROR(INDEX('Project Classifications'!$B$2:$B$231,MATCH(B637,'Project Classifications'!$A$2:$A$231,0)),"")</f>
        <v>The Argentine Supreme Court in press, 1995-1999</v>
      </c>
      <c r="D637" s="8" t="s">
        <v>1216</v>
      </c>
      <c r="E637" s="8" t="s">
        <v>562</v>
      </c>
      <c r="F637" s="8" t="s">
        <v>30</v>
      </c>
      <c r="G637" s="8" t="s">
        <v>32</v>
      </c>
      <c r="H637" s="8" t="s">
        <v>31</v>
      </c>
      <c r="I637" s="9" t="n">
        <v>0</v>
      </c>
      <c r="J637" s="8" t="s">
        <v>741</v>
      </c>
    </row>
    <row r="638" customFormat="false" ht="15" hidden="false" customHeight="false" outlineLevel="0" collapsed="false">
      <c r="A638" s="8" t="n">
        <v>5712</v>
      </c>
      <c r="B638" s="8" t="n">
        <v>136</v>
      </c>
      <c r="C638" s="8" t="str">
        <f aca="false">IFERROR(INDEX('Project Classifications'!$B$2:$B$231,MATCH(B638,'Project Classifications'!$A$2:$A$231,0)),"")</f>
        <v>The Argentine Supreme Court in press, 1995-1999</v>
      </c>
      <c r="D638" s="8" t="s">
        <v>1217</v>
      </c>
      <c r="E638" s="8" t="s">
        <v>934</v>
      </c>
      <c r="F638" s="8" t="s">
        <v>30</v>
      </c>
      <c r="G638" s="8" t="s">
        <v>32</v>
      </c>
      <c r="H638" s="8" t="s">
        <v>31</v>
      </c>
      <c r="I638" s="9" t="n">
        <v>0</v>
      </c>
      <c r="J638" s="8" t="s">
        <v>741</v>
      </c>
    </row>
    <row r="639" customFormat="false" ht="15" hidden="false" customHeight="false" outlineLevel="0" collapsed="false">
      <c r="A639" s="8" t="n">
        <v>5713</v>
      </c>
      <c r="B639" s="8" t="n">
        <v>136</v>
      </c>
      <c r="C639" s="8" t="str">
        <f aca="false">IFERROR(INDEX('Project Classifications'!$B$2:$B$231,MATCH(B639,'Project Classifications'!$A$2:$A$231,0)),"")</f>
        <v>The Argentine Supreme Court in press, 1995-1999</v>
      </c>
      <c r="D639" s="8" t="s">
        <v>1218</v>
      </c>
      <c r="E639" s="8" t="s">
        <v>562</v>
      </c>
      <c r="F639" s="8" t="s">
        <v>305</v>
      </c>
      <c r="G639" s="8" t="s">
        <v>307</v>
      </c>
      <c r="H639" s="8" t="s">
        <v>306</v>
      </c>
      <c r="I639" s="9" t="n">
        <v>0</v>
      </c>
      <c r="J639" s="8" t="s">
        <v>33</v>
      </c>
    </row>
    <row r="640" customFormat="false" ht="15" hidden="false" customHeight="false" outlineLevel="0" collapsed="false">
      <c r="A640" s="8" t="n">
        <v>5714</v>
      </c>
      <c r="B640" s="8" t="n">
        <v>136</v>
      </c>
      <c r="C640" s="8" t="str">
        <f aca="false">IFERROR(INDEX('Project Classifications'!$B$2:$B$231,MATCH(B640,'Project Classifications'!$A$2:$A$231,0)),"")</f>
        <v>The Argentine Supreme Court in press, 1995-1999</v>
      </c>
      <c r="D640" s="8" t="s">
        <v>1219</v>
      </c>
      <c r="E640" s="8" t="s">
        <v>574</v>
      </c>
      <c r="F640" s="8" t="s">
        <v>53</v>
      </c>
      <c r="G640" s="8" t="s">
        <v>55</v>
      </c>
      <c r="H640" s="8" t="s">
        <v>56</v>
      </c>
      <c r="I640" s="9" t="n">
        <v>0.142857142857143</v>
      </c>
      <c r="J640" s="8" t="s">
        <v>33</v>
      </c>
    </row>
    <row r="641" customFormat="false" ht="15" hidden="false" customHeight="false" outlineLevel="0" collapsed="false">
      <c r="A641" s="8" t="n">
        <v>5718</v>
      </c>
      <c r="B641" s="8" t="n">
        <v>137</v>
      </c>
      <c r="C641" s="8" t="str">
        <f aca="false">IFERROR(INDEX('Project Classifications'!$B$2:$B$231,MATCH(B641,'Project Classifications'!$A$2:$A$231,0)),"")</f>
        <v>Data for: Factors Perceived as Influencing Local Health Department Involvement in Mental Health</v>
      </c>
      <c r="D641" s="8" t="s">
        <v>653</v>
      </c>
      <c r="E641" s="8" t="s">
        <v>654</v>
      </c>
      <c r="F641" s="8" t="s">
        <v>42</v>
      </c>
      <c r="G641" s="8" t="s">
        <v>44</v>
      </c>
      <c r="H641" s="8" t="s">
        <v>45</v>
      </c>
      <c r="I641" s="9" t="n">
        <v>0.222222222222222</v>
      </c>
      <c r="J641" s="8" t="s">
        <v>33</v>
      </c>
    </row>
    <row r="642" customFormat="false" ht="15" hidden="false" customHeight="false" outlineLevel="0" collapsed="false">
      <c r="A642" s="8" t="n">
        <v>5719</v>
      </c>
      <c r="B642" s="8" t="n">
        <v>137</v>
      </c>
      <c r="C642" s="8" t="str">
        <f aca="false">IFERROR(INDEX('Project Classifications'!$B$2:$B$231,MATCH(B642,'Project Classifications'!$A$2:$A$231,0)),"")</f>
        <v>Data for: Factors Perceived as Influencing Local Health Department Involvement in Mental Health</v>
      </c>
      <c r="D642" s="8" t="s">
        <v>1220</v>
      </c>
      <c r="E642" s="8" t="s">
        <v>562</v>
      </c>
      <c r="F642" s="8" t="s">
        <v>48</v>
      </c>
      <c r="G642" s="8" t="s">
        <v>50</v>
      </c>
      <c r="H642" s="8" t="s">
        <v>49</v>
      </c>
      <c r="I642" s="9" t="n">
        <v>0.1875</v>
      </c>
      <c r="J642" s="8" t="s">
        <v>33</v>
      </c>
    </row>
    <row r="643" customFormat="false" ht="15" hidden="false" customHeight="false" outlineLevel="0" collapsed="false">
      <c r="A643" s="8" t="n">
        <v>5720</v>
      </c>
      <c r="B643" s="8" t="n">
        <v>138</v>
      </c>
      <c r="C643" s="8" t="str">
        <f aca="false">IFERROR(INDEX('Project Classifications'!$B$2:$B$231,MATCH(B643,'Project Classifications'!$A$2:$A$231,0)),"")</f>
        <v>Access in Higher Education: A Document Collection</v>
      </c>
      <c r="D643" s="8" t="s">
        <v>1221</v>
      </c>
      <c r="E643" s="8" t="s">
        <v>574</v>
      </c>
      <c r="F643" s="8" t="s">
        <v>48</v>
      </c>
      <c r="G643" s="8" t="s">
        <v>50</v>
      </c>
      <c r="H643" s="8" t="s">
        <v>49</v>
      </c>
      <c r="I643" s="9" t="n">
        <v>0.25</v>
      </c>
      <c r="J643" s="8" t="s">
        <v>33</v>
      </c>
    </row>
    <row r="644" customFormat="false" ht="15" hidden="false" customHeight="false" outlineLevel="0" collapsed="false">
      <c r="A644" s="8" t="n">
        <v>5760</v>
      </c>
      <c r="B644" s="8" t="n">
        <v>138</v>
      </c>
      <c r="C644" s="8" t="str">
        <f aca="false">IFERROR(INDEX('Project Classifications'!$B$2:$B$231,MATCH(B644,'Project Classifications'!$A$2:$A$231,0)),"")</f>
        <v>Access in Higher Education: A Document Collection</v>
      </c>
      <c r="D644" s="8" t="s">
        <v>1222</v>
      </c>
      <c r="E644" s="8" t="s">
        <v>562</v>
      </c>
      <c r="F644" s="8" t="s">
        <v>48</v>
      </c>
      <c r="G644" s="8" t="s">
        <v>50</v>
      </c>
      <c r="H644" s="8" t="s">
        <v>49</v>
      </c>
      <c r="I644" s="9" t="n">
        <v>0.1875</v>
      </c>
      <c r="J644" s="8" t="s">
        <v>33</v>
      </c>
    </row>
    <row r="645" customFormat="false" ht="15" hidden="false" customHeight="false" outlineLevel="0" collapsed="false">
      <c r="A645" s="8" t="n">
        <v>5761</v>
      </c>
      <c r="B645" s="8" t="n">
        <v>138</v>
      </c>
      <c r="C645" s="8" t="str">
        <f aca="false">IFERROR(INDEX('Project Classifications'!$B$2:$B$231,MATCH(B645,'Project Classifications'!$A$2:$A$231,0)),"")</f>
        <v>Access in Higher Education: A Document Collection</v>
      </c>
      <c r="D645" s="8" t="s">
        <v>1223</v>
      </c>
      <c r="E645" s="8" t="s">
        <v>600</v>
      </c>
      <c r="F645" s="8" t="s">
        <v>48</v>
      </c>
      <c r="G645" s="8" t="s">
        <v>50</v>
      </c>
      <c r="H645" s="8" t="s">
        <v>49</v>
      </c>
      <c r="I645" s="9" t="n">
        <v>0.1875</v>
      </c>
      <c r="J645" s="8" t="s">
        <v>33</v>
      </c>
    </row>
    <row r="646" customFormat="false" ht="15" hidden="false" customHeight="false" outlineLevel="0" collapsed="false">
      <c r="A646" s="8" t="n">
        <v>5762</v>
      </c>
      <c r="B646" s="8" t="n">
        <v>138</v>
      </c>
      <c r="C646" s="8" t="str">
        <f aca="false">IFERROR(INDEX('Project Classifications'!$B$2:$B$231,MATCH(B646,'Project Classifications'!$A$2:$A$231,0)),"")</f>
        <v>Access in Higher Education: A Document Collection</v>
      </c>
      <c r="D646" s="8" t="s">
        <v>1224</v>
      </c>
      <c r="E646" s="8" t="s">
        <v>562</v>
      </c>
      <c r="F646" s="8" t="s">
        <v>305</v>
      </c>
      <c r="G646" s="8" t="s">
        <v>307</v>
      </c>
      <c r="H646" s="8" t="s">
        <v>306</v>
      </c>
      <c r="I646" s="9" t="n">
        <v>0</v>
      </c>
      <c r="J646" s="8" t="s">
        <v>33</v>
      </c>
    </row>
    <row r="647" customFormat="false" ht="15" hidden="false" customHeight="false" outlineLevel="0" collapsed="false">
      <c r="A647" s="8" t="n">
        <v>5814</v>
      </c>
      <c r="B647" s="8" t="n">
        <v>138</v>
      </c>
      <c r="C647" s="8" t="str">
        <f aca="false">IFERROR(INDEX('Project Classifications'!$B$2:$B$231,MATCH(B647,'Project Classifications'!$A$2:$A$231,0)),"")</f>
        <v>Access in Higher Education: A Document Collection</v>
      </c>
      <c r="D647" s="8" t="s">
        <v>1225</v>
      </c>
      <c r="E647" s="8" t="s">
        <v>562</v>
      </c>
      <c r="F647" s="8" t="s">
        <v>305</v>
      </c>
      <c r="G647" s="8" t="s">
        <v>307</v>
      </c>
      <c r="H647" s="8" t="s">
        <v>306</v>
      </c>
      <c r="I647" s="9" t="n">
        <v>0</v>
      </c>
      <c r="J647" s="8" t="s">
        <v>33</v>
      </c>
    </row>
    <row r="648" customFormat="false" ht="15" hidden="false" customHeight="false" outlineLevel="0" collapsed="false">
      <c r="A648" s="8" t="n">
        <v>5876</v>
      </c>
      <c r="B648" s="8" t="n">
        <v>139</v>
      </c>
      <c r="C648" s="8" t="str">
        <f aca="false">IFERROR(INDEX('Project Classifications'!$B$2:$B$231,MATCH(B648,'Project Classifications'!$A$2:$A$231,0)),"")</f>
        <v>Gender and Participation in Community Based Development: Evidence from the Decentralized Climate Funds Program in Senegal</v>
      </c>
      <c r="D648" s="8" t="s">
        <v>1226</v>
      </c>
      <c r="E648" s="8" t="s">
        <v>562</v>
      </c>
      <c r="F648" s="8" t="s">
        <v>71</v>
      </c>
      <c r="G648" s="8" t="s">
        <v>73</v>
      </c>
      <c r="H648" s="8" t="s">
        <v>74</v>
      </c>
      <c r="I648" s="9" t="n">
        <v>0.0714285714285714</v>
      </c>
      <c r="J648" s="8" t="s">
        <v>33</v>
      </c>
    </row>
    <row r="649" customFormat="false" ht="15" hidden="false" customHeight="false" outlineLevel="0" collapsed="false">
      <c r="A649" s="8" t="n">
        <v>5880</v>
      </c>
      <c r="B649" s="8" t="n">
        <v>139</v>
      </c>
      <c r="C649" s="8" t="str">
        <f aca="false">IFERROR(INDEX('Project Classifications'!$B$2:$B$231,MATCH(B649,'Project Classifications'!$A$2:$A$231,0)),"")</f>
        <v>Gender and Participation in Community Based Development: Evidence from the Decentralized Climate Funds Program in Senegal</v>
      </c>
      <c r="D649" s="8" t="s">
        <v>1227</v>
      </c>
      <c r="E649" s="8" t="s">
        <v>562</v>
      </c>
      <c r="F649" s="8" t="s">
        <v>48</v>
      </c>
      <c r="G649" s="8" t="s">
        <v>50</v>
      </c>
      <c r="H649" s="8" t="s">
        <v>49</v>
      </c>
      <c r="I649" s="9" t="n">
        <v>0.1875</v>
      </c>
      <c r="J649" s="8" t="s">
        <v>33</v>
      </c>
    </row>
    <row r="650" customFormat="false" ht="15" hidden="false" customHeight="false" outlineLevel="0" collapsed="false">
      <c r="A650" s="8" t="n">
        <v>5881</v>
      </c>
      <c r="B650" s="8" t="n">
        <v>139</v>
      </c>
      <c r="C650" s="8" t="str">
        <f aca="false">IFERROR(INDEX('Project Classifications'!$B$2:$B$231,MATCH(B650,'Project Classifications'!$A$2:$A$231,0)),"")</f>
        <v>Gender and Participation in Community Based Development: Evidence from the Decentralized Climate Funds Program in Senegal</v>
      </c>
      <c r="D650" s="8" t="s">
        <v>1228</v>
      </c>
      <c r="E650" s="8" t="s">
        <v>562</v>
      </c>
      <c r="F650" s="8" t="s">
        <v>305</v>
      </c>
      <c r="G650" s="8" t="s">
        <v>307</v>
      </c>
      <c r="H650" s="8" t="s">
        <v>306</v>
      </c>
      <c r="I650" s="9" t="n">
        <v>0</v>
      </c>
      <c r="J650" s="8" t="s">
        <v>33</v>
      </c>
    </row>
    <row r="651" customFormat="false" ht="15" hidden="false" customHeight="false" outlineLevel="0" collapsed="false">
      <c r="A651" s="8" t="n">
        <v>5882</v>
      </c>
      <c r="B651" s="8" t="n">
        <v>139</v>
      </c>
      <c r="C651" s="8" t="str">
        <f aca="false">IFERROR(INDEX('Project Classifications'!$B$2:$B$231,MATCH(B651,'Project Classifications'!$A$2:$A$231,0)),"")</f>
        <v>Gender and Participation in Community Based Development: Evidence from the Decentralized Climate Funds Program in Senegal</v>
      </c>
      <c r="D651" s="8" t="s">
        <v>1229</v>
      </c>
      <c r="E651" s="8" t="s">
        <v>562</v>
      </c>
      <c r="F651" s="8" t="s">
        <v>179</v>
      </c>
      <c r="G651" s="8" t="s">
        <v>181</v>
      </c>
      <c r="H651" s="8" t="s">
        <v>182</v>
      </c>
      <c r="I651" s="9" t="n">
        <v>0.166666666666667</v>
      </c>
      <c r="J651" s="8" t="s">
        <v>33</v>
      </c>
    </row>
    <row r="652" customFormat="false" ht="15" hidden="false" customHeight="false" outlineLevel="0" collapsed="false">
      <c r="A652" s="8" t="n">
        <v>5910</v>
      </c>
      <c r="B652" s="8" t="n">
        <v>139</v>
      </c>
      <c r="C652" s="8" t="str">
        <f aca="false">IFERROR(INDEX('Project Classifications'!$B$2:$B$231,MATCH(B652,'Project Classifications'!$A$2:$A$231,0)),"")</f>
        <v>Gender and Participation in Community Based Development: Evidence from the Decentralized Climate Funds Program in Senegal</v>
      </c>
      <c r="D652" s="8" t="s">
        <v>1230</v>
      </c>
      <c r="E652" s="8" t="s">
        <v>574</v>
      </c>
      <c r="F652" s="8" t="s">
        <v>53</v>
      </c>
      <c r="G652" s="8" t="s">
        <v>55</v>
      </c>
      <c r="H652" s="8" t="s">
        <v>56</v>
      </c>
      <c r="I652" s="9" t="n">
        <v>0.285714285714286</v>
      </c>
      <c r="J652" s="8" t="s">
        <v>33</v>
      </c>
    </row>
    <row r="653" customFormat="false" ht="15" hidden="false" customHeight="false" outlineLevel="0" collapsed="false">
      <c r="A653" s="8" t="n">
        <v>5911</v>
      </c>
      <c r="B653" s="8" t="n">
        <v>140</v>
      </c>
      <c r="C653" s="8" t="str">
        <f aca="false">IFERROR(INDEX('Project Classifications'!$B$2:$B$231,MATCH(B653,'Project Classifications'!$A$2:$A$231,0)),"")</f>
        <v>Data for: Envisioning the Use of In-Situ Arm Movement Data in Stroke Rehabilitation: Stroke Survivors’ and Occupational Therapists’ Perspectives</v>
      </c>
      <c r="D653" s="8" t="s">
        <v>1231</v>
      </c>
      <c r="E653" s="8" t="s">
        <v>562</v>
      </c>
      <c r="F653" s="8" t="s">
        <v>48</v>
      </c>
      <c r="G653" s="8" t="s">
        <v>50</v>
      </c>
      <c r="H653" s="8" t="s">
        <v>49</v>
      </c>
      <c r="I653" s="9" t="n">
        <v>0.0625</v>
      </c>
      <c r="J653" s="8" t="s">
        <v>33</v>
      </c>
    </row>
    <row r="654" customFormat="false" ht="15" hidden="false" customHeight="false" outlineLevel="0" collapsed="false">
      <c r="A654" s="8" t="n">
        <v>5912</v>
      </c>
      <c r="B654" s="8" t="n">
        <v>140</v>
      </c>
      <c r="C654" s="8" t="str">
        <f aca="false">IFERROR(INDEX('Project Classifications'!$B$2:$B$231,MATCH(B654,'Project Classifications'!$A$2:$A$231,0)),"")</f>
        <v>Data for: Envisioning the Use of In-Situ Arm Movement Data in Stroke Rehabilitation: Stroke Survivors’ and Occupational Therapists’ Perspectives</v>
      </c>
      <c r="D654" s="8" t="s">
        <v>1232</v>
      </c>
      <c r="E654" s="8" t="s">
        <v>562</v>
      </c>
      <c r="F654" s="8" t="s">
        <v>42</v>
      </c>
      <c r="G654" s="8" t="s">
        <v>44</v>
      </c>
      <c r="H654" s="8" t="s">
        <v>45</v>
      </c>
      <c r="I654" s="9" t="n">
        <v>0.111111111111111</v>
      </c>
      <c r="J654" s="8" t="s">
        <v>33</v>
      </c>
    </row>
    <row r="655" customFormat="false" ht="15" hidden="false" customHeight="false" outlineLevel="0" collapsed="false">
      <c r="A655" s="8" t="n">
        <v>5916</v>
      </c>
      <c r="B655" s="8" t="n">
        <v>140</v>
      </c>
      <c r="C655" s="8" t="str">
        <f aca="false">IFERROR(INDEX('Project Classifications'!$B$2:$B$231,MATCH(B655,'Project Classifications'!$A$2:$A$231,0)),"")</f>
        <v>Data for: Envisioning the Use of In-Situ Arm Movement Data in Stroke Rehabilitation: Stroke Survivors’ and Occupational Therapists’ Perspectives</v>
      </c>
      <c r="D655" s="8" t="s">
        <v>1233</v>
      </c>
      <c r="E655" s="8" t="s">
        <v>562</v>
      </c>
      <c r="F655" s="8" t="s">
        <v>48</v>
      </c>
      <c r="G655" s="8" t="s">
        <v>50</v>
      </c>
      <c r="H655" s="8" t="s">
        <v>49</v>
      </c>
      <c r="I655" s="9" t="n">
        <v>0.0625</v>
      </c>
      <c r="J655" s="8" t="s">
        <v>33</v>
      </c>
    </row>
    <row r="656" customFormat="false" ht="15" hidden="false" customHeight="false" outlineLevel="0" collapsed="false">
      <c r="A656" s="8" t="n">
        <v>5917</v>
      </c>
      <c r="B656" s="8" t="n">
        <v>140</v>
      </c>
      <c r="C656" s="8" t="str">
        <f aca="false">IFERROR(INDEX('Project Classifications'!$B$2:$B$231,MATCH(B656,'Project Classifications'!$A$2:$A$231,0)),"")</f>
        <v>Data for: Envisioning the Use of In-Situ Arm Movement Data in Stroke Rehabilitation: Stroke Survivors’ and Occupational Therapists’ Perspectives</v>
      </c>
      <c r="D656" s="8" t="s">
        <v>1234</v>
      </c>
      <c r="E656" s="8" t="s">
        <v>562</v>
      </c>
      <c r="F656" s="8" t="s">
        <v>42</v>
      </c>
      <c r="G656" s="8" t="s">
        <v>44</v>
      </c>
      <c r="H656" s="8" t="s">
        <v>45</v>
      </c>
      <c r="I656" s="9" t="n">
        <v>0.222222222222222</v>
      </c>
      <c r="J656" s="8" t="s">
        <v>33</v>
      </c>
    </row>
    <row r="657" customFormat="false" ht="15" hidden="false" customHeight="false" outlineLevel="0" collapsed="false">
      <c r="A657" s="8" t="n">
        <v>5918</v>
      </c>
      <c r="B657" s="8" t="n">
        <v>140</v>
      </c>
      <c r="C657" s="8" t="str">
        <f aca="false">IFERROR(INDEX('Project Classifications'!$B$2:$B$231,MATCH(B657,'Project Classifications'!$A$2:$A$231,0)),"")</f>
        <v>Data for: Envisioning the Use of In-Situ Arm Movement Data in Stroke Rehabilitation: Stroke Survivors’ and Occupational Therapists’ Perspectives</v>
      </c>
      <c r="D657" s="8" t="s">
        <v>1235</v>
      </c>
      <c r="E657" s="8" t="s">
        <v>562</v>
      </c>
      <c r="F657" s="8" t="s">
        <v>42</v>
      </c>
      <c r="G657" s="8" t="s">
        <v>44</v>
      </c>
      <c r="H657" s="8" t="s">
        <v>45</v>
      </c>
      <c r="I657" s="9" t="n">
        <v>0.0555555555555556</v>
      </c>
      <c r="J657" s="8" t="s">
        <v>33</v>
      </c>
    </row>
    <row r="658" customFormat="false" ht="15" hidden="false" customHeight="false" outlineLevel="0" collapsed="false">
      <c r="A658" s="8" t="n">
        <v>5919</v>
      </c>
      <c r="B658" s="8" t="n">
        <v>140</v>
      </c>
      <c r="C658" s="8" t="str">
        <f aca="false">IFERROR(INDEX('Project Classifications'!$B$2:$B$231,MATCH(B658,'Project Classifications'!$A$2:$A$231,0)),"")</f>
        <v>Data for: Envisioning the Use of In-Situ Arm Movement Data in Stroke Rehabilitation: Stroke Survivors’ and Occupational Therapists’ Perspectives</v>
      </c>
      <c r="D658" s="8" t="s">
        <v>1236</v>
      </c>
      <c r="E658" s="8" t="s">
        <v>562</v>
      </c>
      <c r="F658" s="8" t="s">
        <v>42</v>
      </c>
      <c r="G658" s="8" t="s">
        <v>44</v>
      </c>
      <c r="H658" s="8" t="s">
        <v>45</v>
      </c>
      <c r="I658" s="9" t="n">
        <v>0.166666666666667</v>
      </c>
      <c r="J658" s="8" t="s">
        <v>33</v>
      </c>
    </row>
    <row r="659" customFormat="false" ht="15" hidden="false" customHeight="false" outlineLevel="0" collapsed="false">
      <c r="A659" s="8" t="n">
        <v>5920</v>
      </c>
      <c r="B659" s="8" t="n">
        <v>140</v>
      </c>
      <c r="C659" s="8" t="str">
        <f aca="false">IFERROR(INDEX('Project Classifications'!$B$2:$B$231,MATCH(B659,'Project Classifications'!$A$2:$A$231,0)),"")</f>
        <v>Data for: Envisioning the Use of In-Situ Arm Movement Data in Stroke Rehabilitation: Stroke Survivors’ and Occupational Therapists’ Perspectives</v>
      </c>
      <c r="D659" s="8" t="s">
        <v>1237</v>
      </c>
      <c r="E659" s="8" t="s">
        <v>574</v>
      </c>
      <c r="F659" s="8" t="s">
        <v>53</v>
      </c>
      <c r="G659" s="8" t="s">
        <v>55</v>
      </c>
      <c r="H659" s="8" t="s">
        <v>56</v>
      </c>
      <c r="I659" s="9" t="n">
        <v>0.285714285714286</v>
      </c>
      <c r="J659" s="8" t="s">
        <v>33</v>
      </c>
    </row>
    <row r="660" customFormat="false" ht="15" hidden="false" customHeight="false" outlineLevel="0" collapsed="false">
      <c r="A660" s="8" t="n">
        <v>5921</v>
      </c>
      <c r="B660" s="8" t="n">
        <v>141</v>
      </c>
      <c r="C660" s="8" t="str">
        <f aca="false">IFERROR(INDEX('Project Classifications'!$B$2:$B$231,MATCH(B660,'Project Classifications'!$A$2:$A$231,0)),"")</f>
        <v>Exploring the Acceptability of a Community-Enhanced Intervention to Improve Decision Support Partnership between Patients with Chronic Kidney Disease and Their Family Caregivers</v>
      </c>
      <c r="D660" s="8" t="s">
        <v>1238</v>
      </c>
      <c r="E660" s="8" t="s">
        <v>562</v>
      </c>
      <c r="F660" s="8" t="s">
        <v>42</v>
      </c>
      <c r="G660" s="8" t="s">
        <v>44</v>
      </c>
      <c r="H660" s="8" t="s">
        <v>45</v>
      </c>
      <c r="I660" s="9" t="n">
        <v>0.444444444444444</v>
      </c>
      <c r="J660" s="8" t="s">
        <v>33</v>
      </c>
    </row>
    <row r="661" customFormat="false" ht="15" hidden="false" customHeight="false" outlineLevel="0" collapsed="false">
      <c r="A661" s="8" t="n">
        <v>5922</v>
      </c>
      <c r="B661" s="8" t="n">
        <v>141</v>
      </c>
      <c r="C661" s="8" t="str">
        <f aca="false">IFERROR(INDEX('Project Classifications'!$B$2:$B$231,MATCH(B661,'Project Classifications'!$A$2:$A$231,0)),"")</f>
        <v>Exploring the Acceptability of a Community-Enhanced Intervention to Improve Decision Support Partnership between Patients with Chronic Kidney Disease and Their Family Caregivers</v>
      </c>
      <c r="D661" s="8" t="s">
        <v>1239</v>
      </c>
      <c r="E661" s="8" t="s">
        <v>562</v>
      </c>
      <c r="F661" s="8" t="s">
        <v>42</v>
      </c>
      <c r="G661" s="8" t="s">
        <v>44</v>
      </c>
      <c r="H661" s="8" t="s">
        <v>45</v>
      </c>
      <c r="I661" s="9" t="n">
        <v>0.5</v>
      </c>
      <c r="J661" s="8" t="s">
        <v>33</v>
      </c>
    </row>
    <row r="662" customFormat="false" ht="15" hidden="false" customHeight="false" outlineLevel="0" collapsed="false">
      <c r="A662" s="8" t="n">
        <v>5923</v>
      </c>
      <c r="B662" s="8" t="n">
        <v>141</v>
      </c>
      <c r="C662" s="8" t="str">
        <f aca="false">IFERROR(INDEX('Project Classifications'!$B$2:$B$231,MATCH(B662,'Project Classifications'!$A$2:$A$231,0)),"")</f>
        <v>Exploring the Acceptability of a Community-Enhanced Intervention to Improve Decision Support Partnership between Patients with Chronic Kidney Disease and Their Family Caregivers</v>
      </c>
      <c r="D662" s="8" t="s">
        <v>1240</v>
      </c>
      <c r="E662" s="8" t="s">
        <v>562</v>
      </c>
      <c r="F662" s="8" t="s">
        <v>42</v>
      </c>
      <c r="G662" s="8" t="s">
        <v>44</v>
      </c>
      <c r="H662" s="8" t="s">
        <v>45</v>
      </c>
      <c r="I662" s="9" t="n">
        <v>0.333333333333333</v>
      </c>
      <c r="J662" s="8" t="s">
        <v>33</v>
      </c>
    </row>
    <row r="663" customFormat="false" ht="15" hidden="false" customHeight="false" outlineLevel="0" collapsed="false">
      <c r="A663" s="8" t="n">
        <v>5936</v>
      </c>
      <c r="B663" s="8" t="n">
        <v>141</v>
      </c>
      <c r="C663" s="8" t="str">
        <f aca="false">IFERROR(INDEX('Project Classifications'!$B$2:$B$231,MATCH(B663,'Project Classifications'!$A$2:$A$231,0)),"")</f>
        <v>Exploring the Acceptability of a Community-Enhanced Intervention to Improve Decision Support Partnership between Patients with Chronic Kidney Disease and Their Family Caregivers</v>
      </c>
      <c r="D663" s="8" t="s">
        <v>1241</v>
      </c>
      <c r="E663" s="8" t="s">
        <v>562</v>
      </c>
      <c r="F663" s="8" t="s">
        <v>48</v>
      </c>
      <c r="G663" s="8" t="s">
        <v>50</v>
      </c>
      <c r="H663" s="8" t="s">
        <v>49</v>
      </c>
      <c r="I663" s="9" t="n">
        <v>0.1875</v>
      </c>
      <c r="J663" s="8" t="s">
        <v>33</v>
      </c>
    </row>
    <row r="664" customFormat="false" ht="15" hidden="false" customHeight="false" outlineLevel="0" collapsed="false">
      <c r="A664" s="8" t="n">
        <v>5937</v>
      </c>
      <c r="B664" s="8" t="n">
        <v>141</v>
      </c>
      <c r="C664" s="8" t="str">
        <f aca="false">IFERROR(INDEX('Project Classifications'!$B$2:$B$231,MATCH(B664,'Project Classifications'!$A$2:$A$231,0)),"")</f>
        <v>Exploring the Acceptability of a Community-Enhanced Intervention to Improve Decision Support Partnership between Patients with Chronic Kidney Disease and Their Family Caregivers</v>
      </c>
      <c r="D664" s="8" t="s">
        <v>1242</v>
      </c>
      <c r="E664" s="8" t="s">
        <v>562</v>
      </c>
      <c r="F664" s="8" t="s">
        <v>48</v>
      </c>
      <c r="G664" s="8" t="s">
        <v>50</v>
      </c>
      <c r="H664" s="8" t="s">
        <v>49</v>
      </c>
      <c r="I664" s="9" t="n">
        <v>0.1875</v>
      </c>
      <c r="J664" s="8" t="s">
        <v>33</v>
      </c>
    </row>
    <row r="665" customFormat="false" ht="15" hidden="false" customHeight="false" outlineLevel="0" collapsed="false">
      <c r="A665" s="8" t="n">
        <v>5951</v>
      </c>
      <c r="B665" s="8" t="n">
        <v>141</v>
      </c>
      <c r="C665" s="8" t="str">
        <f aca="false">IFERROR(INDEX('Project Classifications'!$B$2:$B$231,MATCH(B665,'Project Classifications'!$A$2:$A$231,0)),"")</f>
        <v>Exploring the Acceptability of a Community-Enhanced Intervention to Improve Decision Support Partnership between Patients with Chronic Kidney Disease and Their Family Caregivers</v>
      </c>
      <c r="D665" s="8" t="s">
        <v>1243</v>
      </c>
      <c r="E665" s="8" t="s">
        <v>574</v>
      </c>
      <c r="F665" s="8" t="s">
        <v>42</v>
      </c>
      <c r="G665" s="8" t="s">
        <v>44</v>
      </c>
      <c r="H665" s="8" t="s">
        <v>45</v>
      </c>
      <c r="I665" s="9" t="n">
        <v>0.222222222222222</v>
      </c>
      <c r="J665" s="8" t="s">
        <v>33</v>
      </c>
    </row>
    <row r="666" customFormat="false" ht="15" hidden="false" customHeight="false" outlineLevel="0" collapsed="false">
      <c r="A666" s="8" t="n">
        <v>5953</v>
      </c>
      <c r="B666" s="8" t="n">
        <v>142</v>
      </c>
      <c r="C666" s="8" t="str">
        <f aca="false">IFERROR(INDEX('Project Classifications'!$B$2:$B$231,MATCH(B666,'Project Classifications'!$A$2:$A$231,0)),"")</f>
        <v>Transnational Jihadists Lebanese Recruits</v>
      </c>
      <c r="D666" s="8" t="s">
        <v>1244</v>
      </c>
      <c r="E666" s="8" t="s">
        <v>574</v>
      </c>
      <c r="F666" s="8" t="s">
        <v>53</v>
      </c>
      <c r="G666" s="8" t="s">
        <v>55</v>
      </c>
      <c r="H666" s="8" t="s">
        <v>56</v>
      </c>
      <c r="I666" s="9" t="n">
        <v>0.285714285714286</v>
      </c>
      <c r="J666" s="8" t="s">
        <v>33</v>
      </c>
    </row>
    <row r="667" customFormat="false" ht="15" hidden="false" customHeight="false" outlineLevel="0" collapsed="false">
      <c r="A667" s="8" t="n">
        <v>5956</v>
      </c>
      <c r="B667" s="8" t="n">
        <v>143</v>
      </c>
      <c r="C667" s="8" t="str">
        <f aca="false">IFERROR(INDEX('Project Classifications'!$B$2:$B$231,MATCH(B667,'Project Classifications'!$A$2:$A$231,0)),"")</f>
        <v>Organizational Response to Emerging Threats: Lessons from NATO and the European Union’s Responses to Peacebuilding, Cyber Threats and Energy Security</v>
      </c>
      <c r="D667" s="8" t="s">
        <v>1245</v>
      </c>
      <c r="E667" s="8" t="s">
        <v>562</v>
      </c>
      <c r="F667" s="8" t="s">
        <v>48</v>
      </c>
      <c r="G667" s="8" t="s">
        <v>50</v>
      </c>
      <c r="H667" s="8" t="s">
        <v>49</v>
      </c>
      <c r="I667" s="9" t="n">
        <v>0.125</v>
      </c>
      <c r="J667" s="8" t="s">
        <v>33</v>
      </c>
    </row>
    <row r="668" customFormat="false" ht="15" hidden="false" customHeight="false" outlineLevel="0" collapsed="false">
      <c r="A668" s="8" t="n">
        <v>5961</v>
      </c>
      <c r="B668" s="8" t="n">
        <v>143</v>
      </c>
      <c r="C668" s="8" t="str">
        <f aca="false">IFERROR(INDEX('Project Classifications'!$B$2:$B$231,MATCH(B668,'Project Classifications'!$A$2:$A$231,0)),"")</f>
        <v>Organizational Response to Emerging Threats: Lessons from NATO and the European Union’s Responses to Peacebuilding, Cyber Threats and Energy Security</v>
      </c>
      <c r="D668" s="8" t="s">
        <v>1246</v>
      </c>
      <c r="E668" s="8" t="s">
        <v>562</v>
      </c>
      <c r="F668" s="8" t="s">
        <v>320</v>
      </c>
      <c r="G668" s="8" t="s">
        <v>322</v>
      </c>
      <c r="H668" s="8" t="s">
        <v>321</v>
      </c>
      <c r="I668" s="9" t="n">
        <v>0.333333333333333</v>
      </c>
      <c r="J668" s="8" t="s">
        <v>33</v>
      </c>
    </row>
    <row r="669" customFormat="false" ht="15" hidden="false" customHeight="false" outlineLevel="0" collapsed="false">
      <c r="A669" s="8" t="n">
        <v>5966</v>
      </c>
      <c r="B669" s="8" t="n">
        <v>143</v>
      </c>
      <c r="C669" s="8" t="str">
        <f aca="false">IFERROR(INDEX('Project Classifications'!$B$2:$B$231,MATCH(B669,'Project Classifications'!$A$2:$A$231,0)),"")</f>
        <v>Organizational Response to Emerging Threats: Lessons from NATO and the European Union’s Responses to Peacebuilding, Cyber Threats and Energy Security</v>
      </c>
      <c r="D669" s="8" t="s">
        <v>1247</v>
      </c>
      <c r="E669" s="8" t="s">
        <v>562</v>
      </c>
      <c r="F669" s="8" t="s">
        <v>305</v>
      </c>
      <c r="G669" s="8" t="s">
        <v>307</v>
      </c>
      <c r="H669" s="8" t="s">
        <v>306</v>
      </c>
      <c r="I669" s="9" t="n">
        <v>0</v>
      </c>
      <c r="J669" s="8" t="s">
        <v>33</v>
      </c>
    </row>
    <row r="670" customFormat="false" ht="15" hidden="false" customHeight="false" outlineLevel="0" collapsed="false">
      <c r="A670" s="8" t="n">
        <v>5967</v>
      </c>
      <c r="B670" s="8" t="n">
        <v>143</v>
      </c>
      <c r="C670" s="8" t="str">
        <f aca="false">IFERROR(INDEX('Project Classifications'!$B$2:$B$231,MATCH(B670,'Project Classifications'!$A$2:$A$231,0)),"")</f>
        <v>Organizational Response to Emerging Threats: Lessons from NATO and the European Union’s Responses to Peacebuilding, Cyber Threats and Energy Security</v>
      </c>
      <c r="D670" s="8" t="s">
        <v>1248</v>
      </c>
      <c r="E670" s="8" t="s">
        <v>562</v>
      </c>
      <c r="F670" s="8" t="s">
        <v>271</v>
      </c>
      <c r="G670" s="8" t="s">
        <v>273</v>
      </c>
      <c r="H670" s="8" t="s">
        <v>274</v>
      </c>
      <c r="I670" s="9" t="n">
        <v>0.5</v>
      </c>
      <c r="J670" s="8" t="s">
        <v>33</v>
      </c>
    </row>
    <row r="671" customFormat="false" ht="15" hidden="false" customHeight="false" outlineLevel="0" collapsed="false">
      <c r="A671" s="8" t="n">
        <v>5970</v>
      </c>
      <c r="B671" s="8" t="n">
        <v>143</v>
      </c>
      <c r="C671" s="8" t="str">
        <f aca="false">IFERROR(INDEX('Project Classifications'!$B$2:$B$231,MATCH(B671,'Project Classifications'!$A$2:$A$231,0)),"")</f>
        <v>Organizational Response to Emerging Threats: Lessons from NATO and the European Union’s Responses to Peacebuilding, Cyber Threats and Energy Security</v>
      </c>
      <c r="D671" s="8" t="s">
        <v>1249</v>
      </c>
      <c r="E671" s="8" t="s">
        <v>562</v>
      </c>
      <c r="F671" s="8" t="s">
        <v>305</v>
      </c>
      <c r="G671" s="8" t="s">
        <v>307</v>
      </c>
      <c r="H671" s="8" t="s">
        <v>306</v>
      </c>
      <c r="I671" s="9" t="n">
        <v>0</v>
      </c>
      <c r="J671" s="8" t="s">
        <v>33</v>
      </c>
    </row>
    <row r="672" customFormat="false" ht="15" hidden="false" customHeight="false" outlineLevel="0" collapsed="false">
      <c r="A672" s="8" t="n">
        <v>5971</v>
      </c>
      <c r="B672" s="8" t="n">
        <v>143</v>
      </c>
      <c r="C672" s="8" t="str">
        <f aca="false">IFERROR(INDEX('Project Classifications'!$B$2:$B$231,MATCH(B672,'Project Classifications'!$A$2:$A$231,0)),"")</f>
        <v>Organizational Response to Emerging Threats: Lessons from NATO and the European Union’s Responses to Peacebuilding, Cyber Threats and Energy Security</v>
      </c>
      <c r="D672" s="8" t="s">
        <v>1250</v>
      </c>
      <c r="E672" s="8" t="s">
        <v>1172</v>
      </c>
      <c r="F672" s="8" t="s">
        <v>305</v>
      </c>
      <c r="G672" s="8" t="s">
        <v>307</v>
      </c>
      <c r="H672" s="8" t="s">
        <v>306</v>
      </c>
      <c r="I672" s="9" t="n">
        <v>0</v>
      </c>
      <c r="J672" s="8" t="s">
        <v>33</v>
      </c>
    </row>
    <row r="673" customFormat="false" ht="15" hidden="false" customHeight="false" outlineLevel="0" collapsed="false">
      <c r="A673" s="8" t="n">
        <v>5972</v>
      </c>
      <c r="B673" s="8" t="n">
        <v>143</v>
      </c>
      <c r="C673" s="8" t="str">
        <f aca="false">IFERROR(INDEX('Project Classifications'!$B$2:$B$231,MATCH(B673,'Project Classifications'!$A$2:$A$231,0)),"")</f>
        <v>Organizational Response to Emerging Threats: Lessons from NATO and the European Union’s Responses to Peacebuilding, Cyber Threats and Energy Security</v>
      </c>
      <c r="D673" s="8" t="s">
        <v>1251</v>
      </c>
      <c r="E673" s="8" t="s">
        <v>574</v>
      </c>
      <c r="F673" s="8" t="s">
        <v>53</v>
      </c>
      <c r="G673" s="8" t="s">
        <v>55</v>
      </c>
      <c r="H673" s="8" t="s">
        <v>56</v>
      </c>
      <c r="I673" s="9" t="n">
        <v>0.285714285714286</v>
      </c>
      <c r="J673" s="8" t="s">
        <v>33</v>
      </c>
    </row>
    <row r="674" customFormat="false" ht="15" hidden="false" customHeight="false" outlineLevel="0" collapsed="false">
      <c r="A674" s="8" t="n">
        <v>5973</v>
      </c>
      <c r="B674" s="8" t="n">
        <v>144</v>
      </c>
      <c r="C674" s="8" t="str">
        <f aca="false">IFERROR(INDEX('Project Classifications'!$B$2:$B$231,MATCH(B674,'Project Classifications'!$A$2:$A$231,0)),"")</f>
        <v>Perceived Risks and Benefits of Using a Survival and Functional Outcome Machine Learning Model for Glioblastoma</v>
      </c>
      <c r="D674" s="8" t="s">
        <v>1252</v>
      </c>
      <c r="E674" s="8" t="s">
        <v>562</v>
      </c>
      <c r="F674" s="8" t="s">
        <v>42</v>
      </c>
      <c r="G674" s="8" t="s">
        <v>44</v>
      </c>
      <c r="H674" s="8" t="s">
        <v>45</v>
      </c>
      <c r="I674" s="9" t="n">
        <v>0.333333333333333</v>
      </c>
      <c r="J674" s="8" t="s">
        <v>33</v>
      </c>
    </row>
    <row r="675" customFormat="false" ht="15" hidden="false" customHeight="false" outlineLevel="0" collapsed="false">
      <c r="A675" s="8" t="n">
        <v>5974</v>
      </c>
      <c r="B675" s="8" t="n">
        <v>144</v>
      </c>
      <c r="C675" s="8" t="str">
        <f aca="false">IFERROR(INDEX('Project Classifications'!$B$2:$B$231,MATCH(B675,'Project Classifications'!$A$2:$A$231,0)),"")</f>
        <v>Perceived Risks and Benefits of Using a Survival and Functional Outcome Machine Learning Model for Glioblastoma</v>
      </c>
      <c r="D675" s="8" t="s">
        <v>1253</v>
      </c>
      <c r="E675" s="8" t="s">
        <v>562</v>
      </c>
      <c r="F675" s="8" t="s">
        <v>42</v>
      </c>
      <c r="G675" s="8" t="s">
        <v>44</v>
      </c>
      <c r="H675" s="8" t="s">
        <v>45</v>
      </c>
      <c r="I675" s="9" t="n">
        <v>0.166666666666667</v>
      </c>
      <c r="J675" s="8" t="s">
        <v>33</v>
      </c>
    </row>
    <row r="676" customFormat="false" ht="15" hidden="false" customHeight="false" outlineLevel="0" collapsed="false">
      <c r="A676" s="8" t="n">
        <v>5975</v>
      </c>
      <c r="B676" s="8" t="n">
        <v>144</v>
      </c>
      <c r="C676" s="8" t="str">
        <f aca="false">IFERROR(INDEX('Project Classifications'!$B$2:$B$231,MATCH(B676,'Project Classifications'!$A$2:$A$231,0)),"")</f>
        <v>Perceived Risks and Benefits of Using a Survival and Functional Outcome Machine Learning Model for Glioblastoma</v>
      </c>
      <c r="D676" s="8" t="s">
        <v>1254</v>
      </c>
      <c r="E676" s="8" t="s">
        <v>562</v>
      </c>
      <c r="F676" s="8" t="s">
        <v>42</v>
      </c>
      <c r="G676" s="8" t="s">
        <v>44</v>
      </c>
      <c r="H676" s="8" t="s">
        <v>45</v>
      </c>
      <c r="I676" s="9" t="n">
        <v>0.222222222222222</v>
      </c>
      <c r="J676" s="8" t="s">
        <v>33</v>
      </c>
    </row>
    <row r="677" customFormat="false" ht="15" hidden="false" customHeight="false" outlineLevel="0" collapsed="false">
      <c r="A677" s="8" t="n">
        <v>5976</v>
      </c>
      <c r="B677" s="8" t="n">
        <v>144</v>
      </c>
      <c r="C677" s="8" t="str">
        <f aca="false">IFERROR(INDEX('Project Classifications'!$B$2:$B$231,MATCH(B677,'Project Classifications'!$A$2:$A$231,0)),"")</f>
        <v>Perceived Risks and Benefits of Using a Survival and Functional Outcome Machine Learning Model for Glioblastoma</v>
      </c>
      <c r="D677" s="8" t="s">
        <v>1255</v>
      </c>
      <c r="E677" s="8" t="s">
        <v>562</v>
      </c>
      <c r="F677" s="8" t="s">
        <v>42</v>
      </c>
      <c r="G677" s="8" t="s">
        <v>44</v>
      </c>
      <c r="H677" s="8" t="s">
        <v>45</v>
      </c>
      <c r="I677" s="9" t="n">
        <v>0.166666666666667</v>
      </c>
      <c r="J677" s="8" t="s">
        <v>33</v>
      </c>
    </row>
    <row r="678" customFormat="false" ht="15" hidden="false" customHeight="false" outlineLevel="0" collapsed="false">
      <c r="A678" s="8" t="n">
        <v>5977</v>
      </c>
      <c r="B678" s="8" t="n">
        <v>144</v>
      </c>
      <c r="C678" s="8" t="str">
        <f aca="false">IFERROR(INDEX('Project Classifications'!$B$2:$B$231,MATCH(B678,'Project Classifications'!$A$2:$A$231,0)),"")</f>
        <v>Perceived Risks and Benefits of Using a Survival and Functional Outcome Machine Learning Model for Glioblastoma</v>
      </c>
      <c r="D678" s="8" t="s">
        <v>1256</v>
      </c>
      <c r="E678" s="8" t="s">
        <v>562</v>
      </c>
      <c r="F678" s="8" t="s">
        <v>42</v>
      </c>
      <c r="G678" s="8" t="s">
        <v>44</v>
      </c>
      <c r="H678" s="8" t="s">
        <v>45</v>
      </c>
      <c r="I678" s="9" t="n">
        <v>0.166666666666667</v>
      </c>
      <c r="J678" s="8" t="s">
        <v>33</v>
      </c>
    </row>
    <row r="679" customFormat="false" ht="15" hidden="false" customHeight="false" outlineLevel="0" collapsed="false">
      <c r="A679" s="8" t="n">
        <v>5978</v>
      </c>
      <c r="B679" s="8" t="n">
        <v>144</v>
      </c>
      <c r="C679" s="8" t="str">
        <f aca="false">IFERROR(INDEX('Project Classifications'!$B$2:$B$231,MATCH(B679,'Project Classifications'!$A$2:$A$231,0)),"")</f>
        <v>Perceived Risks and Benefits of Using a Survival and Functional Outcome Machine Learning Model for Glioblastoma</v>
      </c>
      <c r="D679" s="8" t="s">
        <v>1257</v>
      </c>
      <c r="E679" s="8" t="s">
        <v>562</v>
      </c>
      <c r="F679" s="8" t="s">
        <v>48</v>
      </c>
      <c r="G679" s="8" t="s">
        <v>50</v>
      </c>
      <c r="H679" s="8" t="s">
        <v>49</v>
      </c>
      <c r="I679" s="9" t="n">
        <v>0.1875</v>
      </c>
      <c r="J679" s="8" t="s">
        <v>33</v>
      </c>
    </row>
    <row r="680" customFormat="false" ht="15" hidden="false" customHeight="false" outlineLevel="0" collapsed="false">
      <c r="A680" s="8" t="n">
        <v>5979</v>
      </c>
      <c r="B680" s="8" t="n">
        <v>144</v>
      </c>
      <c r="C680" s="8" t="str">
        <f aca="false">IFERROR(INDEX('Project Classifications'!$B$2:$B$231,MATCH(B680,'Project Classifications'!$A$2:$A$231,0)),"")</f>
        <v>Perceived Risks and Benefits of Using a Survival and Functional Outcome Machine Learning Model for Glioblastoma</v>
      </c>
      <c r="D680" s="8" t="s">
        <v>1258</v>
      </c>
      <c r="E680" s="8" t="s">
        <v>562</v>
      </c>
      <c r="F680" s="8" t="s">
        <v>48</v>
      </c>
      <c r="G680" s="8" t="s">
        <v>50</v>
      </c>
      <c r="H680" s="8" t="s">
        <v>49</v>
      </c>
      <c r="I680" s="9" t="n">
        <v>0.0625</v>
      </c>
      <c r="J680" s="8" t="s">
        <v>33</v>
      </c>
    </row>
    <row r="681" customFormat="false" ht="15" hidden="false" customHeight="false" outlineLevel="0" collapsed="false">
      <c r="A681" s="8" t="n">
        <v>5980</v>
      </c>
      <c r="B681" s="8" t="n">
        <v>144</v>
      </c>
      <c r="C681" s="8" t="str">
        <f aca="false">IFERROR(INDEX('Project Classifications'!$B$2:$B$231,MATCH(B681,'Project Classifications'!$A$2:$A$231,0)),"")</f>
        <v>Perceived Risks and Benefits of Using a Survival and Functional Outcome Machine Learning Model for Glioblastoma</v>
      </c>
      <c r="D681" s="8" t="s">
        <v>1259</v>
      </c>
      <c r="E681" s="8" t="s">
        <v>1260</v>
      </c>
      <c r="F681" s="8" t="s">
        <v>42</v>
      </c>
      <c r="G681" s="8" t="s">
        <v>44</v>
      </c>
      <c r="H681" s="8" t="s">
        <v>45</v>
      </c>
      <c r="I681" s="9" t="n">
        <v>0</v>
      </c>
      <c r="J681" s="8" t="s">
        <v>741</v>
      </c>
    </row>
    <row r="682" customFormat="false" ht="15" hidden="false" customHeight="false" outlineLevel="0" collapsed="false">
      <c r="A682" s="8" t="n">
        <v>5981</v>
      </c>
      <c r="B682" s="8" t="n">
        <v>144</v>
      </c>
      <c r="C682" s="8" t="str">
        <f aca="false">IFERROR(INDEX('Project Classifications'!$B$2:$B$231,MATCH(B682,'Project Classifications'!$A$2:$A$231,0)),"")</f>
        <v>Perceived Risks and Benefits of Using a Survival and Functional Outcome Machine Learning Model for Glioblastoma</v>
      </c>
      <c r="D682" s="8" t="s">
        <v>1261</v>
      </c>
      <c r="E682" s="8" t="s">
        <v>562</v>
      </c>
      <c r="F682" s="8" t="s">
        <v>305</v>
      </c>
      <c r="G682" s="8" t="s">
        <v>307</v>
      </c>
      <c r="H682" s="8" t="s">
        <v>306</v>
      </c>
      <c r="I682" s="9" t="n">
        <v>0</v>
      </c>
      <c r="J682" s="8" t="s">
        <v>33</v>
      </c>
    </row>
    <row r="683" customFormat="false" ht="15" hidden="false" customHeight="false" outlineLevel="0" collapsed="false">
      <c r="A683" s="8" t="n">
        <v>5982</v>
      </c>
      <c r="B683" s="8" t="n">
        <v>144</v>
      </c>
      <c r="C683" s="8" t="str">
        <f aca="false">IFERROR(INDEX('Project Classifications'!$B$2:$B$231,MATCH(B683,'Project Classifications'!$A$2:$A$231,0)),"")</f>
        <v>Perceived Risks and Benefits of Using a Survival and Functional Outcome Machine Learning Model for Glioblastoma</v>
      </c>
      <c r="D683" s="8" t="s">
        <v>1262</v>
      </c>
      <c r="E683" s="8" t="s">
        <v>1260</v>
      </c>
      <c r="F683" s="8" t="s">
        <v>42</v>
      </c>
      <c r="G683" s="8" t="s">
        <v>44</v>
      </c>
      <c r="H683" s="8" t="s">
        <v>45</v>
      </c>
      <c r="I683" s="9" t="n">
        <v>0</v>
      </c>
      <c r="J683" s="8" t="s">
        <v>741</v>
      </c>
    </row>
    <row r="684" customFormat="false" ht="15" hidden="false" customHeight="false" outlineLevel="0" collapsed="false">
      <c r="A684" s="8" t="n">
        <v>5983</v>
      </c>
      <c r="B684" s="8" t="n">
        <v>144</v>
      </c>
      <c r="C684" s="8" t="str">
        <f aca="false">IFERROR(INDEX('Project Classifications'!$B$2:$B$231,MATCH(B684,'Project Classifications'!$A$2:$A$231,0)),"")</f>
        <v>Perceived Risks and Benefits of Using a Survival and Functional Outcome Machine Learning Model for Glioblastoma</v>
      </c>
      <c r="D684" s="8" t="s">
        <v>1263</v>
      </c>
      <c r="E684" s="8" t="s">
        <v>562</v>
      </c>
      <c r="F684" s="8" t="s">
        <v>42</v>
      </c>
      <c r="G684" s="8" t="s">
        <v>44</v>
      </c>
      <c r="H684" s="8" t="s">
        <v>45</v>
      </c>
      <c r="I684" s="9" t="n">
        <v>0.166666666666667</v>
      </c>
      <c r="J684" s="8" t="s">
        <v>33</v>
      </c>
    </row>
    <row r="685" customFormat="false" ht="15" hidden="false" customHeight="false" outlineLevel="0" collapsed="false">
      <c r="A685" s="8" t="n">
        <v>5984</v>
      </c>
      <c r="B685" s="8" t="n">
        <v>144</v>
      </c>
      <c r="C685" s="8" t="str">
        <f aca="false">IFERROR(INDEX('Project Classifications'!$B$2:$B$231,MATCH(B685,'Project Classifications'!$A$2:$A$231,0)),"")</f>
        <v>Perceived Risks and Benefits of Using a Survival and Functional Outcome Machine Learning Model for Glioblastoma</v>
      </c>
      <c r="D685" s="8" t="s">
        <v>1264</v>
      </c>
      <c r="E685" s="8" t="s">
        <v>1260</v>
      </c>
      <c r="F685" s="8" t="s">
        <v>42</v>
      </c>
      <c r="G685" s="8" t="s">
        <v>44</v>
      </c>
      <c r="H685" s="8" t="s">
        <v>45</v>
      </c>
      <c r="I685" s="9" t="n">
        <v>0</v>
      </c>
      <c r="J685" s="8" t="s">
        <v>741</v>
      </c>
    </row>
    <row r="686" customFormat="false" ht="15" hidden="false" customHeight="false" outlineLevel="0" collapsed="false">
      <c r="A686" s="8" t="n">
        <v>5985</v>
      </c>
      <c r="B686" s="8" t="n">
        <v>144</v>
      </c>
      <c r="C686" s="8" t="str">
        <f aca="false">IFERROR(INDEX('Project Classifications'!$B$2:$B$231,MATCH(B686,'Project Classifications'!$A$2:$A$231,0)),"")</f>
        <v>Perceived Risks and Benefits of Using a Survival and Functional Outcome Machine Learning Model for Glioblastoma</v>
      </c>
      <c r="D686" s="8" t="s">
        <v>1265</v>
      </c>
      <c r="E686" s="8" t="s">
        <v>562</v>
      </c>
      <c r="F686" s="8" t="s">
        <v>42</v>
      </c>
      <c r="G686" s="8" t="s">
        <v>44</v>
      </c>
      <c r="H686" s="8" t="s">
        <v>45</v>
      </c>
      <c r="I686" s="9" t="n">
        <v>0.388888888888889</v>
      </c>
      <c r="J686" s="8" t="s">
        <v>33</v>
      </c>
    </row>
    <row r="687" customFormat="false" ht="15" hidden="false" customHeight="false" outlineLevel="0" collapsed="false">
      <c r="A687" s="8" t="n">
        <v>5986</v>
      </c>
      <c r="B687" s="8" t="n">
        <v>144</v>
      </c>
      <c r="C687" s="8" t="str">
        <f aca="false">IFERROR(INDEX('Project Classifications'!$B$2:$B$231,MATCH(B687,'Project Classifications'!$A$2:$A$231,0)),"")</f>
        <v>Perceived Risks and Benefits of Using a Survival and Functional Outcome Machine Learning Model for Glioblastoma</v>
      </c>
      <c r="D687" s="8" t="s">
        <v>1266</v>
      </c>
      <c r="E687" s="8" t="s">
        <v>562</v>
      </c>
      <c r="F687" s="8" t="s">
        <v>42</v>
      </c>
      <c r="G687" s="8" t="s">
        <v>44</v>
      </c>
      <c r="H687" s="8" t="s">
        <v>45</v>
      </c>
      <c r="I687" s="9" t="n">
        <v>0.222222222222222</v>
      </c>
      <c r="J687" s="8" t="s">
        <v>33</v>
      </c>
    </row>
    <row r="688" customFormat="false" ht="15" hidden="false" customHeight="false" outlineLevel="0" collapsed="false">
      <c r="A688" s="8" t="n">
        <v>5987</v>
      </c>
      <c r="B688" s="8" t="n">
        <v>144</v>
      </c>
      <c r="C688" s="8" t="str">
        <f aca="false">IFERROR(INDEX('Project Classifications'!$B$2:$B$231,MATCH(B688,'Project Classifications'!$A$2:$A$231,0)),"")</f>
        <v>Perceived Risks and Benefits of Using a Survival and Functional Outcome Machine Learning Model for Glioblastoma</v>
      </c>
      <c r="D688" s="8" t="s">
        <v>1267</v>
      </c>
      <c r="E688" s="8" t="s">
        <v>562</v>
      </c>
      <c r="F688" s="8" t="s">
        <v>42</v>
      </c>
      <c r="G688" s="8" t="s">
        <v>44</v>
      </c>
      <c r="H688" s="8" t="s">
        <v>45</v>
      </c>
      <c r="I688" s="9" t="n">
        <v>0.388888888888889</v>
      </c>
      <c r="J688" s="8" t="s">
        <v>33</v>
      </c>
    </row>
    <row r="689" customFormat="false" ht="15" hidden="false" customHeight="false" outlineLevel="0" collapsed="false">
      <c r="A689" s="8" t="n">
        <v>6030</v>
      </c>
      <c r="B689" s="8" t="n">
        <v>144</v>
      </c>
      <c r="C689" s="8" t="str">
        <f aca="false">IFERROR(INDEX('Project Classifications'!$B$2:$B$231,MATCH(B689,'Project Classifications'!$A$2:$A$231,0)),"")</f>
        <v>Perceived Risks and Benefits of Using a Survival and Functional Outcome Machine Learning Model for Glioblastoma</v>
      </c>
      <c r="D689" s="8" t="s">
        <v>1268</v>
      </c>
      <c r="E689" s="8" t="s">
        <v>574</v>
      </c>
      <c r="F689" s="8" t="s">
        <v>48</v>
      </c>
      <c r="G689" s="8" t="s">
        <v>50</v>
      </c>
      <c r="H689" s="8" t="s">
        <v>49</v>
      </c>
      <c r="I689" s="9" t="n">
        <v>0.1875</v>
      </c>
      <c r="J689" s="8" t="s">
        <v>33</v>
      </c>
    </row>
    <row r="690" customFormat="false" ht="15" hidden="false" customHeight="false" outlineLevel="0" collapsed="false">
      <c r="A690" s="8" t="n">
        <v>6031</v>
      </c>
      <c r="B690" s="8" t="n">
        <v>145</v>
      </c>
      <c r="C690" s="8" t="str">
        <f aca="false">IFERROR(INDEX('Project Classifications'!$B$2:$B$231,MATCH(B690,'Project Classifications'!$A$2:$A$231,0)),"")</f>
        <v>Pilot Testing a Virtual Reality Protocol for Improving Pain and Pain-Related Distress in Patients with Advanced Stage Colorectal Cancer</v>
      </c>
      <c r="D690" s="8" t="s">
        <v>1269</v>
      </c>
      <c r="E690" s="8" t="s">
        <v>562</v>
      </c>
      <c r="F690" s="8" t="s">
        <v>42</v>
      </c>
      <c r="G690" s="8" t="s">
        <v>44</v>
      </c>
      <c r="H690" s="8" t="s">
        <v>45</v>
      </c>
      <c r="I690" s="9" t="n">
        <v>0.388888888888889</v>
      </c>
      <c r="J690" s="8" t="s">
        <v>33</v>
      </c>
    </row>
    <row r="691" customFormat="false" ht="15" hidden="false" customHeight="false" outlineLevel="0" collapsed="false">
      <c r="A691" s="8" t="n">
        <v>6032</v>
      </c>
      <c r="B691" s="8" t="n">
        <v>145</v>
      </c>
      <c r="C691" s="8" t="str">
        <f aca="false">IFERROR(INDEX('Project Classifications'!$B$2:$B$231,MATCH(B691,'Project Classifications'!$A$2:$A$231,0)),"")</f>
        <v>Pilot Testing a Virtual Reality Protocol for Improving Pain and Pain-Related Distress in Patients with Advanced Stage Colorectal Cancer</v>
      </c>
      <c r="D691" s="8" t="s">
        <v>1270</v>
      </c>
      <c r="E691" s="8" t="s">
        <v>562</v>
      </c>
      <c r="F691" s="8" t="s">
        <v>42</v>
      </c>
      <c r="G691" s="8" t="s">
        <v>44</v>
      </c>
      <c r="H691" s="8" t="s">
        <v>45</v>
      </c>
      <c r="I691" s="9" t="n">
        <v>0.333333333333333</v>
      </c>
      <c r="J691" s="8" t="s">
        <v>33</v>
      </c>
    </row>
    <row r="692" customFormat="false" ht="15" hidden="false" customHeight="false" outlineLevel="0" collapsed="false">
      <c r="A692" s="8" t="n">
        <v>6049</v>
      </c>
      <c r="B692" s="8" t="n">
        <v>145</v>
      </c>
      <c r="C692" s="8" t="str">
        <f aca="false">IFERROR(INDEX('Project Classifications'!$B$2:$B$231,MATCH(B692,'Project Classifications'!$A$2:$A$231,0)),"")</f>
        <v>Pilot Testing a Virtual Reality Protocol for Improving Pain and Pain-Related Distress in Patients with Advanced Stage Colorectal Cancer</v>
      </c>
      <c r="D692" s="8" t="s">
        <v>1271</v>
      </c>
      <c r="E692" s="8" t="s">
        <v>562</v>
      </c>
      <c r="F692" s="8" t="s">
        <v>42</v>
      </c>
      <c r="G692" s="8" t="s">
        <v>44</v>
      </c>
      <c r="H692" s="8" t="s">
        <v>45</v>
      </c>
      <c r="I692" s="9" t="n">
        <v>0.388888888888889</v>
      </c>
      <c r="J692" s="8" t="s">
        <v>33</v>
      </c>
    </row>
    <row r="693" customFormat="false" ht="15" hidden="false" customHeight="false" outlineLevel="0" collapsed="false">
      <c r="A693" s="8" t="n">
        <v>6050</v>
      </c>
      <c r="B693" s="8" t="n">
        <v>145</v>
      </c>
      <c r="C693" s="8" t="str">
        <f aca="false">IFERROR(INDEX('Project Classifications'!$B$2:$B$231,MATCH(B693,'Project Classifications'!$A$2:$A$231,0)),"")</f>
        <v>Pilot Testing a Virtual Reality Protocol for Improving Pain and Pain-Related Distress in Patients with Advanced Stage Colorectal Cancer</v>
      </c>
      <c r="D693" s="8" t="s">
        <v>1272</v>
      </c>
      <c r="E693" s="8" t="s">
        <v>562</v>
      </c>
      <c r="F693" s="8" t="s">
        <v>42</v>
      </c>
      <c r="G693" s="8" t="s">
        <v>44</v>
      </c>
      <c r="H693" s="8" t="s">
        <v>45</v>
      </c>
      <c r="I693" s="9" t="n">
        <v>0.222222222222222</v>
      </c>
      <c r="J693" s="8" t="s">
        <v>33</v>
      </c>
    </row>
    <row r="694" customFormat="false" ht="15" hidden="false" customHeight="false" outlineLevel="0" collapsed="false">
      <c r="A694" s="8" t="n">
        <v>6051</v>
      </c>
      <c r="B694" s="8" t="n">
        <v>145</v>
      </c>
      <c r="C694" s="8" t="str">
        <f aca="false">IFERROR(INDEX('Project Classifications'!$B$2:$B$231,MATCH(B694,'Project Classifications'!$A$2:$A$231,0)),"")</f>
        <v>Pilot Testing a Virtual Reality Protocol for Improving Pain and Pain-Related Distress in Patients with Advanced Stage Colorectal Cancer</v>
      </c>
      <c r="D694" s="8" t="s">
        <v>1273</v>
      </c>
      <c r="E694" s="8" t="s">
        <v>562</v>
      </c>
      <c r="F694" s="8" t="s">
        <v>42</v>
      </c>
      <c r="G694" s="8" t="s">
        <v>44</v>
      </c>
      <c r="H694" s="8" t="s">
        <v>45</v>
      </c>
      <c r="I694" s="9" t="n">
        <v>0.111111111111111</v>
      </c>
      <c r="J694" s="8" t="s">
        <v>33</v>
      </c>
    </row>
    <row r="695" customFormat="false" ht="15" hidden="false" customHeight="false" outlineLevel="0" collapsed="false">
      <c r="A695" s="8" t="n">
        <v>6052</v>
      </c>
      <c r="B695" s="8" t="n">
        <v>145</v>
      </c>
      <c r="C695" s="8" t="str">
        <f aca="false">IFERROR(INDEX('Project Classifications'!$B$2:$B$231,MATCH(B695,'Project Classifications'!$A$2:$A$231,0)),"")</f>
        <v>Pilot Testing a Virtual Reality Protocol for Improving Pain and Pain-Related Distress in Patients with Advanced Stage Colorectal Cancer</v>
      </c>
      <c r="D695" s="8" t="s">
        <v>1274</v>
      </c>
      <c r="E695" s="8" t="s">
        <v>562</v>
      </c>
      <c r="F695" s="8" t="s">
        <v>42</v>
      </c>
      <c r="G695" s="8" t="s">
        <v>44</v>
      </c>
      <c r="H695" s="8" t="s">
        <v>45</v>
      </c>
      <c r="I695" s="9" t="n">
        <v>0.222222222222222</v>
      </c>
      <c r="J695" s="8" t="s">
        <v>33</v>
      </c>
    </row>
    <row r="696" customFormat="false" ht="15" hidden="false" customHeight="false" outlineLevel="0" collapsed="false">
      <c r="A696" s="8" t="n">
        <v>6053</v>
      </c>
      <c r="B696" s="8" t="n">
        <v>145</v>
      </c>
      <c r="C696" s="8" t="str">
        <f aca="false">IFERROR(INDEX('Project Classifications'!$B$2:$B$231,MATCH(B696,'Project Classifications'!$A$2:$A$231,0)),"")</f>
        <v>Pilot Testing a Virtual Reality Protocol for Improving Pain and Pain-Related Distress in Patients with Advanced Stage Colorectal Cancer</v>
      </c>
      <c r="D696" s="8" t="s">
        <v>1275</v>
      </c>
      <c r="E696" s="8" t="s">
        <v>562</v>
      </c>
      <c r="F696" s="8" t="s">
        <v>42</v>
      </c>
      <c r="G696" s="8" t="s">
        <v>44</v>
      </c>
      <c r="H696" s="8" t="s">
        <v>45</v>
      </c>
      <c r="I696" s="9" t="n">
        <v>0.222222222222222</v>
      </c>
      <c r="J696" s="8" t="s">
        <v>33</v>
      </c>
    </row>
    <row r="697" customFormat="false" ht="15" hidden="false" customHeight="false" outlineLevel="0" collapsed="false">
      <c r="A697" s="8" t="n">
        <v>6054</v>
      </c>
      <c r="B697" s="8" t="n">
        <v>145</v>
      </c>
      <c r="C697" s="8" t="str">
        <f aca="false">IFERROR(INDEX('Project Classifications'!$B$2:$B$231,MATCH(B697,'Project Classifications'!$A$2:$A$231,0)),"")</f>
        <v>Pilot Testing a Virtual Reality Protocol for Improving Pain and Pain-Related Distress in Patients with Advanced Stage Colorectal Cancer</v>
      </c>
      <c r="D697" s="8" t="s">
        <v>1276</v>
      </c>
      <c r="E697" s="8" t="s">
        <v>574</v>
      </c>
      <c r="F697" s="8" t="s">
        <v>42</v>
      </c>
      <c r="G697" s="8" t="s">
        <v>44</v>
      </c>
      <c r="H697" s="8" t="s">
        <v>45</v>
      </c>
      <c r="I697" s="9" t="n">
        <v>0.166666666666667</v>
      </c>
      <c r="J697" s="8" t="s">
        <v>33</v>
      </c>
    </row>
    <row r="698" customFormat="false" ht="15" hidden="false" customHeight="false" outlineLevel="0" collapsed="false">
      <c r="A698" s="8" t="n">
        <v>6055</v>
      </c>
      <c r="B698" s="8" t="n">
        <v>146</v>
      </c>
      <c r="C698" s="8" t="str">
        <f aca="false">IFERROR(INDEX('Project Classifications'!$B$2:$B$231,MATCH(B698,'Project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698" s="8" t="s">
        <v>1277</v>
      </c>
      <c r="E698" s="8" t="s">
        <v>562</v>
      </c>
      <c r="F698" s="8" t="s">
        <v>42</v>
      </c>
      <c r="G698" s="8" t="s">
        <v>44</v>
      </c>
      <c r="H698" s="8" t="s">
        <v>45</v>
      </c>
      <c r="I698" s="9" t="n">
        <v>0.166666666666667</v>
      </c>
      <c r="J698" s="8" t="s">
        <v>33</v>
      </c>
    </row>
    <row r="699" customFormat="false" ht="15" hidden="false" customHeight="false" outlineLevel="0" collapsed="false">
      <c r="A699" s="8" t="n">
        <v>6056</v>
      </c>
      <c r="B699" s="8" t="n">
        <v>146</v>
      </c>
      <c r="C699" s="8" t="str">
        <f aca="false">IFERROR(INDEX('Project Classifications'!$B$2:$B$231,MATCH(B699,'Project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699" s="8" t="s">
        <v>1278</v>
      </c>
      <c r="E699" s="8" t="s">
        <v>562</v>
      </c>
      <c r="F699" s="8" t="s">
        <v>42</v>
      </c>
      <c r="G699" s="8" t="s">
        <v>44</v>
      </c>
      <c r="H699" s="8" t="s">
        <v>45</v>
      </c>
      <c r="I699" s="9" t="n">
        <v>0.166666666666667</v>
      </c>
      <c r="J699" s="8" t="s">
        <v>33</v>
      </c>
    </row>
    <row r="700" customFormat="false" ht="15" hidden="false" customHeight="false" outlineLevel="0" collapsed="false">
      <c r="A700" s="8" t="n">
        <v>6057</v>
      </c>
      <c r="B700" s="8" t="n">
        <v>146</v>
      </c>
      <c r="C700" s="8" t="str">
        <f aca="false">IFERROR(INDEX('Project Classifications'!$B$2:$B$231,MATCH(B700,'Project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0" s="8" t="s">
        <v>1279</v>
      </c>
      <c r="E700" s="8" t="s">
        <v>562</v>
      </c>
      <c r="F700" s="8" t="s">
        <v>48</v>
      </c>
      <c r="G700" s="8" t="s">
        <v>50</v>
      </c>
      <c r="H700" s="8" t="s">
        <v>49</v>
      </c>
      <c r="I700" s="9" t="n">
        <v>0.0625</v>
      </c>
      <c r="J700" s="8" t="s">
        <v>33</v>
      </c>
    </row>
    <row r="701" customFormat="false" ht="15" hidden="false" customHeight="false" outlineLevel="0" collapsed="false">
      <c r="A701" s="8" t="n">
        <v>6058</v>
      </c>
      <c r="B701" s="8" t="n">
        <v>146</v>
      </c>
      <c r="C701" s="8" t="str">
        <f aca="false">IFERROR(INDEX('Project Classifications'!$B$2:$B$231,MATCH(B701,'Project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1" s="8" t="s">
        <v>1280</v>
      </c>
      <c r="E701" s="8" t="s">
        <v>562</v>
      </c>
      <c r="F701" s="8" t="s">
        <v>42</v>
      </c>
      <c r="G701" s="8" t="s">
        <v>44</v>
      </c>
      <c r="H701" s="8" t="s">
        <v>45</v>
      </c>
      <c r="I701" s="9" t="n">
        <v>0.222222222222222</v>
      </c>
      <c r="J701" s="8" t="s">
        <v>33</v>
      </c>
    </row>
    <row r="702" customFormat="false" ht="15" hidden="false" customHeight="false" outlineLevel="0" collapsed="false">
      <c r="A702" s="8" t="n">
        <v>6117</v>
      </c>
      <c r="B702" s="8" t="n">
        <v>146</v>
      </c>
      <c r="C702" s="8" t="str">
        <f aca="false">IFERROR(INDEX('Project Classifications'!$B$2:$B$231,MATCH(B702,'Project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2" s="8" t="s">
        <v>1281</v>
      </c>
      <c r="E702" s="8" t="s">
        <v>562</v>
      </c>
      <c r="F702" s="8" t="s">
        <v>36</v>
      </c>
      <c r="G702" s="8" t="s">
        <v>980</v>
      </c>
      <c r="H702" s="8" t="s">
        <v>981</v>
      </c>
      <c r="I702" s="9" t="n">
        <v>0.2</v>
      </c>
      <c r="J702" s="8" t="s">
        <v>33</v>
      </c>
    </row>
    <row r="703" customFormat="false" ht="15" hidden="false" customHeight="false" outlineLevel="0" collapsed="false">
      <c r="A703" s="8" t="n">
        <v>6118</v>
      </c>
      <c r="B703" s="8" t="n">
        <v>146</v>
      </c>
      <c r="C703" s="8" t="str">
        <f aca="false">IFERROR(INDEX('Project Classifications'!$B$2:$B$231,MATCH(B703,'Project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3" s="8" t="s">
        <v>1282</v>
      </c>
      <c r="E703" s="8" t="s">
        <v>562</v>
      </c>
      <c r="F703" s="8" t="s">
        <v>71</v>
      </c>
      <c r="G703" s="8" t="s">
        <v>83</v>
      </c>
      <c r="H703" s="8" t="s">
        <v>84</v>
      </c>
      <c r="I703" s="9" t="n">
        <v>0.25</v>
      </c>
      <c r="J703" s="8" t="s">
        <v>33</v>
      </c>
    </row>
    <row r="704" customFormat="false" ht="15" hidden="false" customHeight="false" outlineLevel="0" collapsed="false">
      <c r="A704" s="8" t="n">
        <v>6119</v>
      </c>
      <c r="B704" s="8" t="n">
        <v>146</v>
      </c>
      <c r="C704" s="8" t="str">
        <f aca="false">IFERROR(INDEX('Project Classifications'!$B$2:$B$231,MATCH(B704,'Project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4" s="8" t="s">
        <v>1283</v>
      </c>
      <c r="E704" s="8" t="s">
        <v>562</v>
      </c>
      <c r="F704" s="8" t="s">
        <v>71</v>
      </c>
      <c r="G704" s="8" t="s">
        <v>83</v>
      </c>
      <c r="H704" s="8" t="s">
        <v>84</v>
      </c>
      <c r="I704" s="9" t="n">
        <v>0.25</v>
      </c>
      <c r="J704" s="8" t="s">
        <v>33</v>
      </c>
    </row>
    <row r="705" customFormat="false" ht="15" hidden="false" customHeight="false" outlineLevel="0" collapsed="false">
      <c r="A705" s="8" t="n">
        <v>6120</v>
      </c>
      <c r="B705" s="8" t="n">
        <v>146</v>
      </c>
      <c r="C705" s="8" t="str">
        <f aca="false">IFERROR(INDEX('Project Classifications'!$B$2:$B$231,MATCH(B705,'Project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5" s="8" t="s">
        <v>1284</v>
      </c>
      <c r="E705" s="8" t="s">
        <v>562</v>
      </c>
      <c r="F705" s="8" t="s">
        <v>71</v>
      </c>
      <c r="G705" s="8" t="s">
        <v>83</v>
      </c>
      <c r="H705" s="8" t="s">
        <v>84</v>
      </c>
      <c r="I705" s="9" t="n">
        <v>0.25</v>
      </c>
      <c r="J705" s="8" t="s">
        <v>33</v>
      </c>
    </row>
    <row r="706" customFormat="false" ht="15" hidden="false" customHeight="false" outlineLevel="0" collapsed="false">
      <c r="A706" s="8" t="n">
        <v>6121</v>
      </c>
      <c r="B706" s="8" t="n">
        <v>146</v>
      </c>
      <c r="C706" s="8" t="str">
        <f aca="false">IFERROR(INDEX('Project Classifications'!$B$2:$B$231,MATCH(B706,'Project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6" s="8" t="s">
        <v>1285</v>
      </c>
      <c r="E706" s="8" t="s">
        <v>562</v>
      </c>
      <c r="F706" s="8" t="s">
        <v>305</v>
      </c>
      <c r="G706" s="8" t="s">
        <v>307</v>
      </c>
      <c r="H706" s="8" t="s">
        <v>306</v>
      </c>
      <c r="I706" s="9" t="n">
        <v>0</v>
      </c>
      <c r="J706" s="8" t="s">
        <v>33</v>
      </c>
    </row>
    <row r="707" customFormat="false" ht="15" hidden="false" customHeight="false" outlineLevel="0" collapsed="false">
      <c r="A707" s="8" t="n">
        <v>6184</v>
      </c>
      <c r="B707" s="8" t="n">
        <v>146</v>
      </c>
      <c r="C707" s="8" t="str">
        <f aca="false">IFERROR(INDEX('Project Classifications'!$B$2:$B$231,MATCH(B707,'Project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7" s="8" t="s">
        <v>1286</v>
      </c>
      <c r="E707" s="8" t="s">
        <v>562</v>
      </c>
      <c r="F707" s="8" t="s">
        <v>42</v>
      </c>
      <c r="G707" s="8" t="s">
        <v>44</v>
      </c>
      <c r="H707" s="8" t="s">
        <v>45</v>
      </c>
      <c r="I707" s="9" t="n">
        <v>0.0555555555555556</v>
      </c>
      <c r="J707" s="8" t="s">
        <v>33</v>
      </c>
    </row>
    <row r="708" customFormat="false" ht="15" hidden="false" customHeight="false" outlineLevel="0" collapsed="false">
      <c r="A708" s="8" t="n">
        <v>6185</v>
      </c>
      <c r="B708" s="8" t="n">
        <v>146</v>
      </c>
      <c r="C708" s="8" t="str">
        <f aca="false">IFERROR(INDEX('Project Classifications'!$B$2:$B$231,MATCH(B708,'Project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8" s="8" t="s">
        <v>1287</v>
      </c>
      <c r="E708" s="8" t="s">
        <v>562</v>
      </c>
      <c r="F708" s="8" t="s">
        <v>71</v>
      </c>
      <c r="G708" s="8" t="s">
        <v>83</v>
      </c>
      <c r="H708" s="8" t="s">
        <v>84</v>
      </c>
      <c r="I708" s="9" t="n">
        <v>0.25</v>
      </c>
      <c r="J708" s="8" t="s">
        <v>33</v>
      </c>
    </row>
    <row r="709" customFormat="false" ht="15" hidden="false" customHeight="false" outlineLevel="0" collapsed="false">
      <c r="A709" s="8" t="n">
        <v>6186</v>
      </c>
      <c r="B709" s="8" t="n">
        <v>146</v>
      </c>
      <c r="C709" s="8" t="str">
        <f aca="false">IFERROR(INDEX('Project Classifications'!$B$2:$B$231,MATCH(B709,'Project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09" s="8" t="s">
        <v>1288</v>
      </c>
      <c r="E709" s="8" t="s">
        <v>562</v>
      </c>
      <c r="F709" s="8" t="s">
        <v>71</v>
      </c>
      <c r="G709" s="8" t="s">
        <v>83</v>
      </c>
      <c r="H709" s="8" t="s">
        <v>84</v>
      </c>
      <c r="I709" s="9" t="n">
        <v>0.25</v>
      </c>
      <c r="J709" s="8" t="s">
        <v>33</v>
      </c>
    </row>
    <row r="710" customFormat="false" ht="15" hidden="false" customHeight="false" outlineLevel="0" collapsed="false">
      <c r="A710" s="8" t="n">
        <v>6187</v>
      </c>
      <c r="B710" s="8" t="n">
        <v>146</v>
      </c>
      <c r="C710" s="8" t="str">
        <f aca="false">IFERROR(INDEX('Project Classifications'!$B$2:$B$231,MATCH(B710,'Project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10" s="8" t="s">
        <v>1289</v>
      </c>
      <c r="E710" s="8" t="s">
        <v>562</v>
      </c>
      <c r="F710" s="8" t="s">
        <v>71</v>
      </c>
      <c r="G710" s="8" t="s">
        <v>83</v>
      </c>
      <c r="H710" s="8" t="s">
        <v>84</v>
      </c>
      <c r="I710" s="9" t="n">
        <v>0.25</v>
      </c>
      <c r="J710" s="8" t="s">
        <v>33</v>
      </c>
    </row>
    <row r="711" customFormat="false" ht="15" hidden="false" customHeight="false" outlineLevel="0" collapsed="false">
      <c r="A711" s="8" t="n">
        <v>6188</v>
      </c>
      <c r="B711" s="8" t="n">
        <v>146</v>
      </c>
      <c r="C711" s="8" t="str">
        <f aca="false">IFERROR(INDEX('Project Classifications'!$B$2:$B$231,MATCH(B711,'Project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11" s="8" t="s">
        <v>1290</v>
      </c>
      <c r="E711" s="8" t="s">
        <v>562</v>
      </c>
      <c r="F711" s="8" t="s">
        <v>71</v>
      </c>
      <c r="G711" s="8" t="s">
        <v>83</v>
      </c>
      <c r="H711" s="8" t="s">
        <v>84</v>
      </c>
      <c r="I711" s="9" t="n">
        <v>0.25</v>
      </c>
      <c r="J711" s="8" t="s">
        <v>33</v>
      </c>
    </row>
    <row r="712" customFormat="false" ht="15" hidden="false" customHeight="false" outlineLevel="0" collapsed="false">
      <c r="A712" s="8" t="n">
        <v>6189</v>
      </c>
      <c r="B712" s="8" t="n">
        <v>146</v>
      </c>
      <c r="C712" s="8" t="str">
        <f aca="false">IFERROR(INDEX('Project Classifications'!$B$2:$B$231,MATCH(B712,'Project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12" s="8" t="s">
        <v>1291</v>
      </c>
      <c r="E712" s="8" t="s">
        <v>562</v>
      </c>
      <c r="F712" s="8" t="s">
        <v>71</v>
      </c>
      <c r="G712" s="8" t="s">
        <v>83</v>
      </c>
      <c r="H712" s="8" t="s">
        <v>84</v>
      </c>
      <c r="I712" s="9" t="n">
        <v>0.25</v>
      </c>
      <c r="J712" s="8" t="s">
        <v>33</v>
      </c>
    </row>
    <row r="713" customFormat="false" ht="15" hidden="false" customHeight="false" outlineLevel="0" collapsed="false">
      <c r="A713" s="8" t="n">
        <v>6190</v>
      </c>
      <c r="B713" s="8" t="n">
        <v>146</v>
      </c>
      <c r="C713" s="8" t="str">
        <f aca="false">IFERROR(INDEX('Project Classifications'!$B$2:$B$231,MATCH(B713,'Project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13" s="8" t="s">
        <v>1292</v>
      </c>
      <c r="E713" s="8" t="s">
        <v>600</v>
      </c>
      <c r="F713" s="8" t="s">
        <v>42</v>
      </c>
      <c r="G713" s="8" t="s">
        <v>44</v>
      </c>
      <c r="H713" s="8" t="s">
        <v>45</v>
      </c>
      <c r="I713" s="9" t="n">
        <v>0.0555555555555556</v>
      </c>
      <c r="J713" s="8" t="s">
        <v>33</v>
      </c>
    </row>
    <row r="714" customFormat="false" ht="15" hidden="false" customHeight="false" outlineLevel="0" collapsed="false">
      <c r="A714" s="8" t="n">
        <v>6191</v>
      </c>
      <c r="B714" s="8" t="n">
        <v>146</v>
      </c>
      <c r="C714" s="8" t="str">
        <f aca="false">IFERROR(INDEX('Project Classifications'!$B$2:$B$231,MATCH(B714,'Project Classifications'!$A$2:$A$231,0)),"")</f>
        <v>Data For: Optimising Instructional Materials for COVID-19 Rapid Tests for Self-Sampling and Testing: Mapping the Optimization Process of Manufacturer’s Instructions for Use for Self-Testing RDTs Intended for Low Literacy Contexts</v>
      </c>
      <c r="D714" s="8" t="s">
        <v>1293</v>
      </c>
      <c r="E714" s="8" t="s">
        <v>574</v>
      </c>
      <c r="F714" s="8" t="s">
        <v>42</v>
      </c>
      <c r="G714" s="8" t="s">
        <v>44</v>
      </c>
      <c r="H714" s="8" t="s">
        <v>45</v>
      </c>
      <c r="I714" s="9" t="n">
        <v>0.222222222222222</v>
      </c>
      <c r="J714" s="8" t="s">
        <v>33</v>
      </c>
    </row>
    <row r="715" customFormat="false" ht="15" hidden="false" customHeight="false" outlineLevel="0" collapsed="false">
      <c r="A715" s="8" t="n">
        <v>6192</v>
      </c>
      <c r="B715" s="8" t="n">
        <v>147</v>
      </c>
      <c r="C715" s="8" t="str">
        <f aca="false">IFERROR(INDEX('Project Classifications'!$B$2:$B$231,MATCH(B715,'Project Classifications'!$A$2:$A$231,0)),"")</f>
        <v>Negotiating formality: Informal sector, market, and state in Peru</v>
      </c>
      <c r="D715" s="8" t="s">
        <v>1294</v>
      </c>
      <c r="E715" s="8" t="s">
        <v>574</v>
      </c>
      <c r="F715" s="8" t="s">
        <v>53</v>
      </c>
      <c r="G715" s="8" t="s">
        <v>55</v>
      </c>
      <c r="H715" s="8" t="s">
        <v>56</v>
      </c>
      <c r="I715" s="9" t="n">
        <v>0.142857142857143</v>
      </c>
      <c r="J715" s="8" t="s">
        <v>33</v>
      </c>
    </row>
    <row r="716" customFormat="false" ht="15" hidden="false" customHeight="false" outlineLevel="0" collapsed="false">
      <c r="A716" s="8" t="n">
        <v>6476</v>
      </c>
      <c r="B716" s="8" t="n">
        <v>148</v>
      </c>
      <c r="C716" s="8" t="str">
        <f aca="false">IFERROR(INDEX('Project Classifications'!$B$2:$B$231,MATCH(B716,'Project Classifications'!$A$2:$A$231,0)),"")</f>
        <v>Data for: Implementation of Home Blood Pressure Monitoring among French GPs: A Long and Winding Road</v>
      </c>
      <c r="D716" s="8" t="s">
        <v>1295</v>
      </c>
      <c r="E716" s="8" t="s">
        <v>574</v>
      </c>
      <c r="F716" s="8" t="s">
        <v>53</v>
      </c>
      <c r="G716" s="8" t="s">
        <v>55</v>
      </c>
      <c r="H716" s="8" t="s">
        <v>56</v>
      </c>
      <c r="I716" s="9" t="n">
        <v>0.285714285714286</v>
      </c>
      <c r="J716" s="8" t="s">
        <v>33</v>
      </c>
    </row>
    <row r="717" customFormat="false" ht="15" hidden="false" customHeight="false" outlineLevel="0" collapsed="false">
      <c r="A717" s="8" t="n">
        <v>6503</v>
      </c>
      <c r="B717" s="8" t="n">
        <v>150</v>
      </c>
      <c r="C717" s="8" t="str">
        <f aca="false">IFERROR(INDEX('Project Classifications'!$B$2:$B$231,MATCH(B717,'Project Classifications'!$A$2:$A$231,0)),"")</f>
        <v>Data for: Translanguaging through the Lens of Social Justice: Unpacking Educators’ Understanding and Practices.</v>
      </c>
      <c r="D717" s="8" t="s">
        <v>1296</v>
      </c>
      <c r="E717" s="8" t="s">
        <v>562</v>
      </c>
      <c r="F717" s="8" t="s">
        <v>48</v>
      </c>
      <c r="G717" s="8" t="s">
        <v>50</v>
      </c>
      <c r="H717" s="8" t="s">
        <v>49</v>
      </c>
      <c r="I717" s="9" t="n">
        <v>0.4375</v>
      </c>
      <c r="J717" s="8" t="s">
        <v>33</v>
      </c>
    </row>
    <row r="718" customFormat="false" ht="15" hidden="false" customHeight="false" outlineLevel="0" collapsed="false">
      <c r="A718" s="8" t="n">
        <v>6504</v>
      </c>
      <c r="B718" s="8" t="n">
        <v>150</v>
      </c>
      <c r="C718" s="8" t="str">
        <f aca="false">IFERROR(INDEX('Project Classifications'!$B$2:$B$231,MATCH(B718,'Project Classifications'!$A$2:$A$231,0)),"")</f>
        <v>Data for: Translanguaging through the Lens of Social Justice: Unpacking Educators’ Understanding and Practices.</v>
      </c>
      <c r="D718" s="8" t="s">
        <v>1297</v>
      </c>
      <c r="E718" s="8" t="s">
        <v>562</v>
      </c>
      <c r="F718" s="8" t="s">
        <v>48</v>
      </c>
      <c r="G718" s="8" t="s">
        <v>50</v>
      </c>
      <c r="H718" s="8" t="s">
        <v>49</v>
      </c>
      <c r="I718" s="9" t="n">
        <v>0.0625</v>
      </c>
      <c r="J718" s="8" t="s">
        <v>33</v>
      </c>
    </row>
    <row r="719" customFormat="false" ht="15" hidden="false" customHeight="false" outlineLevel="0" collapsed="false">
      <c r="A719" s="8" t="n">
        <v>6505</v>
      </c>
      <c r="B719" s="8" t="n">
        <v>150</v>
      </c>
      <c r="C719" s="8" t="str">
        <f aca="false">IFERROR(INDEX('Project Classifications'!$B$2:$B$231,MATCH(B719,'Project Classifications'!$A$2:$A$231,0)),"")</f>
        <v>Data for: Translanguaging through the Lens of Social Justice: Unpacking Educators’ Understanding and Practices.</v>
      </c>
      <c r="D719" s="8" t="s">
        <v>1298</v>
      </c>
      <c r="E719" s="8" t="s">
        <v>562</v>
      </c>
      <c r="F719" s="8" t="s">
        <v>48</v>
      </c>
      <c r="G719" s="8" t="s">
        <v>50</v>
      </c>
      <c r="H719" s="8" t="s">
        <v>49</v>
      </c>
      <c r="I719" s="9" t="n">
        <v>0.375</v>
      </c>
      <c r="J719" s="8" t="s">
        <v>33</v>
      </c>
    </row>
    <row r="720" customFormat="false" ht="15" hidden="false" customHeight="false" outlineLevel="0" collapsed="false">
      <c r="A720" s="8" t="n">
        <v>6508</v>
      </c>
      <c r="B720" s="8" t="n">
        <v>150</v>
      </c>
      <c r="C720" s="8" t="str">
        <f aca="false">IFERROR(INDEX('Project Classifications'!$B$2:$B$231,MATCH(B720,'Project Classifications'!$A$2:$A$231,0)),"")</f>
        <v>Data for: Translanguaging through the Lens of Social Justice: Unpacking Educators’ Understanding and Practices.</v>
      </c>
      <c r="D720" s="8" t="s">
        <v>1299</v>
      </c>
      <c r="E720" s="8" t="s">
        <v>574</v>
      </c>
      <c r="F720" s="8" t="s">
        <v>48</v>
      </c>
      <c r="G720" s="8" t="s">
        <v>50</v>
      </c>
      <c r="H720" s="8" t="s">
        <v>49</v>
      </c>
      <c r="I720" s="9" t="n">
        <v>0.4375</v>
      </c>
      <c r="J720" s="8" t="s">
        <v>33</v>
      </c>
    </row>
    <row r="721" customFormat="false" ht="15" hidden="false" customHeight="false" outlineLevel="0" collapsed="false">
      <c r="A721" s="8" t="n">
        <v>6540</v>
      </c>
      <c r="B721" s="8" t="n">
        <v>152</v>
      </c>
      <c r="C721" s="8" t="str">
        <f aca="false">IFERROR(INDEX('Project Classifications'!$B$2:$B$231,MATCH(B721,'Project Classifications'!$A$2:$A$231,0)),"")</f>
        <v>Data for: The Power of Human Rights Frames in Urban Security: Lessons from Bogotá</v>
      </c>
      <c r="D721" s="8" t="s">
        <v>653</v>
      </c>
      <c r="E721" s="8" t="s">
        <v>654</v>
      </c>
      <c r="F721" s="8" t="s">
        <v>53</v>
      </c>
      <c r="G721" s="8" t="s">
        <v>55</v>
      </c>
      <c r="H721" s="8" t="s">
        <v>56</v>
      </c>
      <c r="I721" s="9" t="n">
        <v>0.142857142857143</v>
      </c>
      <c r="J721" s="8" t="s">
        <v>33</v>
      </c>
    </row>
    <row r="722" customFormat="false" ht="15" hidden="false" customHeight="false" outlineLevel="0" collapsed="false">
      <c r="A722" s="8" t="n">
        <v>6543</v>
      </c>
      <c r="B722" s="8" t="n">
        <v>152</v>
      </c>
      <c r="C722" s="8" t="str">
        <f aca="false">IFERROR(INDEX('Project Classifications'!$B$2:$B$231,MATCH(B722,'Project Classifications'!$A$2:$A$231,0)),"")</f>
        <v>Data for: The Power of Human Rights Frames in Urban Security: Lessons from Bogotá</v>
      </c>
      <c r="D722" s="8" t="s">
        <v>1300</v>
      </c>
      <c r="E722" s="8" t="s">
        <v>562</v>
      </c>
      <c r="F722" s="8" t="s">
        <v>71</v>
      </c>
      <c r="G722" s="8" t="s">
        <v>83</v>
      </c>
      <c r="H722" s="8" t="s">
        <v>84</v>
      </c>
      <c r="I722" s="9" t="n">
        <v>0.25</v>
      </c>
      <c r="J722" s="8" t="s">
        <v>33</v>
      </c>
    </row>
    <row r="723" customFormat="false" ht="15" hidden="false" customHeight="false" outlineLevel="0" collapsed="false">
      <c r="A723" s="8" t="n">
        <v>6553</v>
      </c>
      <c r="B723" s="8" t="n">
        <v>152</v>
      </c>
      <c r="C723" s="8" t="str">
        <f aca="false">IFERROR(INDEX('Project Classifications'!$B$2:$B$231,MATCH(B723,'Project Classifications'!$A$2:$A$231,0)),"")</f>
        <v>Data for: The Power of Human Rights Frames in Urban Security: Lessons from Bogotá</v>
      </c>
      <c r="D723" s="8" t="s">
        <v>1301</v>
      </c>
      <c r="E723" s="8" t="s">
        <v>574</v>
      </c>
      <c r="F723" s="8" t="s">
        <v>30</v>
      </c>
      <c r="G723" s="8" t="s">
        <v>32</v>
      </c>
      <c r="H723" s="8" t="s">
        <v>31</v>
      </c>
      <c r="I723" s="9" t="n">
        <v>0.117647058823529</v>
      </c>
      <c r="J723" s="8" t="s">
        <v>33</v>
      </c>
    </row>
    <row r="724" customFormat="false" ht="15" hidden="false" customHeight="false" outlineLevel="0" collapsed="false">
      <c r="A724" s="8" t="n">
        <v>6554</v>
      </c>
      <c r="B724" s="8" t="n">
        <v>153</v>
      </c>
      <c r="C724" s="8" t="str">
        <f aca="false">IFERROR(INDEX('Project Classifications'!$B$2:$B$231,MATCH(B724,'Project Classifications'!$A$2:$A$231,0)),"")</f>
        <v>Data for 'The Rise of Investor-State Arbitration: Politics, Law, and Unintended Consequences'</v>
      </c>
      <c r="D724" s="8" t="s">
        <v>1302</v>
      </c>
      <c r="E724" s="8" t="s">
        <v>574</v>
      </c>
      <c r="F724" s="8" t="s">
        <v>53</v>
      </c>
      <c r="G724" s="8" t="s">
        <v>55</v>
      </c>
      <c r="H724" s="8" t="s">
        <v>56</v>
      </c>
      <c r="I724" s="9" t="n">
        <v>0.142857142857143</v>
      </c>
      <c r="J724" s="8" t="s">
        <v>33</v>
      </c>
    </row>
    <row r="725" customFormat="false" ht="15" hidden="false" customHeight="false" outlineLevel="0" collapsed="false">
      <c r="A725" s="8" t="n">
        <v>6555</v>
      </c>
      <c r="B725" s="8" t="n">
        <v>153</v>
      </c>
      <c r="C725" s="8" t="str">
        <f aca="false">IFERROR(INDEX('Project Classifications'!$B$2:$B$231,MATCH(B725,'Project Classifications'!$A$2:$A$231,0)),"")</f>
        <v>Data for 'The Rise of Investor-State Arbitration: Politics, Law, and Unintended Consequences'</v>
      </c>
      <c r="D725" s="8" t="s">
        <v>1303</v>
      </c>
      <c r="E725" s="8" t="s">
        <v>562</v>
      </c>
      <c r="F725" s="8" t="s">
        <v>48</v>
      </c>
      <c r="G725" s="8" t="s">
        <v>50</v>
      </c>
      <c r="H725" s="8" t="s">
        <v>49</v>
      </c>
      <c r="I725" s="9" t="n">
        <v>0.125</v>
      </c>
      <c r="J725" s="8" t="s">
        <v>33</v>
      </c>
    </row>
    <row r="726" customFormat="false" ht="15" hidden="false" customHeight="false" outlineLevel="0" collapsed="false">
      <c r="A726" s="8" t="n">
        <v>6556</v>
      </c>
      <c r="B726" s="8" t="n">
        <v>153</v>
      </c>
      <c r="C726" s="8" t="str">
        <f aca="false">IFERROR(INDEX('Project Classifications'!$B$2:$B$231,MATCH(B726,'Project Classifications'!$A$2:$A$231,0)),"")</f>
        <v>Data for 'The Rise of Investor-State Arbitration: Politics, Law, and Unintended Consequences'</v>
      </c>
      <c r="D726" s="8" t="s">
        <v>1304</v>
      </c>
      <c r="E726" s="8" t="s">
        <v>562</v>
      </c>
      <c r="F726" s="8" t="s">
        <v>71</v>
      </c>
      <c r="G726" s="8" t="s">
        <v>83</v>
      </c>
      <c r="H726" s="8" t="s">
        <v>84</v>
      </c>
      <c r="I726" s="9" t="n">
        <v>0.25</v>
      </c>
      <c r="J726" s="8" t="s">
        <v>33</v>
      </c>
    </row>
    <row r="727" customFormat="false" ht="15" hidden="false" customHeight="false" outlineLevel="0" collapsed="false">
      <c r="A727" s="8" t="n">
        <v>6557</v>
      </c>
      <c r="B727" s="8" t="n">
        <v>153</v>
      </c>
      <c r="C727" s="8" t="str">
        <f aca="false">IFERROR(INDEX('Project Classifications'!$B$2:$B$231,MATCH(B727,'Project Classifications'!$A$2:$A$231,0)),"")</f>
        <v>Data for 'The Rise of Investor-State Arbitration: Politics, Law, and Unintended Consequences'</v>
      </c>
      <c r="D727" s="8" t="s">
        <v>1305</v>
      </c>
      <c r="E727" s="8" t="s">
        <v>562</v>
      </c>
      <c r="F727" s="8" t="s">
        <v>36</v>
      </c>
      <c r="G727" s="8" t="s">
        <v>38</v>
      </c>
      <c r="H727" s="8" t="s">
        <v>39</v>
      </c>
      <c r="I727" s="9" t="n">
        <v>0.125</v>
      </c>
      <c r="J727" s="8" t="s">
        <v>33</v>
      </c>
    </row>
    <row r="728" customFormat="false" ht="15" hidden="false" customHeight="false" outlineLevel="0" collapsed="false">
      <c r="A728" s="8" t="n">
        <v>6769</v>
      </c>
      <c r="B728" s="8" t="n">
        <v>155</v>
      </c>
      <c r="C728" s="8" t="str">
        <f aca="false">IFERROR(INDEX('Project Classifications'!$B$2:$B$231,MATCH(B728,'Project Classifications'!$A$2:$A$231,0)),"")</f>
        <v>A qualitative study of perspectives on postnatal care referrals by Traditional Birth Attendants in Ebonyi State, Nigeria</v>
      </c>
      <c r="D728" s="8" t="s">
        <v>1306</v>
      </c>
      <c r="E728" s="8" t="s">
        <v>562</v>
      </c>
      <c r="F728" s="8" t="s">
        <v>42</v>
      </c>
      <c r="G728" s="8" t="s">
        <v>44</v>
      </c>
      <c r="H728" s="8" t="s">
        <v>45</v>
      </c>
      <c r="I728" s="9" t="n">
        <v>0.277777777777778</v>
      </c>
      <c r="J728" s="8" t="s">
        <v>33</v>
      </c>
    </row>
    <row r="729" customFormat="false" ht="15" hidden="false" customHeight="false" outlineLevel="0" collapsed="false">
      <c r="A729" s="8" t="n">
        <v>6770</v>
      </c>
      <c r="B729" s="8" t="n">
        <v>155</v>
      </c>
      <c r="C729" s="8" t="str">
        <f aca="false">IFERROR(INDEX('Project Classifications'!$B$2:$B$231,MATCH(B729,'Project Classifications'!$A$2:$A$231,0)),"")</f>
        <v>A qualitative study of perspectives on postnatal care referrals by Traditional Birth Attendants in Ebonyi State, Nigeria</v>
      </c>
      <c r="D729" s="8" t="s">
        <v>1307</v>
      </c>
      <c r="E729" s="8" t="s">
        <v>562</v>
      </c>
      <c r="F729" s="8" t="s">
        <v>42</v>
      </c>
      <c r="G729" s="8" t="s">
        <v>44</v>
      </c>
      <c r="H729" s="8" t="s">
        <v>45</v>
      </c>
      <c r="I729" s="9" t="n">
        <v>0.277777777777778</v>
      </c>
      <c r="J729" s="8" t="s">
        <v>33</v>
      </c>
    </row>
    <row r="730" customFormat="false" ht="15" hidden="false" customHeight="false" outlineLevel="0" collapsed="false">
      <c r="A730" s="8" t="n">
        <v>6771</v>
      </c>
      <c r="B730" s="8" t="n">
        <v>155</v>
      </c>
      <c r="C730" s="8" t="str">
        <f aca="false">IFERROR(INDEX('Project Classifications'!$B$2:$B$231,MATCH(B730,'Project Classifications'!$A$2:$A$231,0)),"")</f>
        <v>A qualitative study of perspectives on postnatal care referrals by Traditional Birth Attendants in Ebonyi State, Nigeria</v>
      </c>
      <c r="D730" s="8" t="s">
        <v>1308</v>
      </c>
      <c r="E730" s="8" t="s">
        <v>562</v>
      </c>
      <c r="F730" s="8" t="s">
        <v>42</v>
      </c>
      <c r="G730" s="8" t="s">
        <v>44</v>
      </c>
      <c r="H730" s="8" t="s">
        <v>45</v>
      </c>
      <c r="I730" s="9" t="n">
        <v>0.277777777777778</v>
      </c>
      <c r="J730" s="8" t="s">
        <v>33</v>
      </c>
    </row>
    <row r="731" customFormat="false" ht="15" hidden="false" customHeight="false" outlineLevel="0" collapsed="false">
      <c r="A731" s="8" t="n">
        <v>6772</v>
      </c>
      <c r="B731" s="8" t="n">
        <v>155</v>
      </c>
      <c r="C731" s="8" t="str">
        <f aca="false">IFERROR(INDEX('Project Classifications'!$B$2:$B$231,MATCH(B731,'Project Classifications'!$A$2:$A$231,0)),"")</f>
        <v>A qualitative study of perspectives on postnatal care referrals by Traditional Birth Attendants in Ebonyi State, Nigeria</v>
      </c>
      <c r="D731" s="8" t="s">
        <v>1309</v>
      </c>
      <c r="E731" s="8" t="s">
        <v>562</v>
      </c>
      <c r="F731" s="8" t="s">
        <v>48</v>
      </c>
      <c r="G731" s="8" t="s">
        <v>50</v>
      </c>
      <c r="H731" s="8" t="s">
        <v>49</v>
      </c>
      <c r="I731" s="9" t="n">
        <v>0.1875</v>
      </c>
      <c r="J731" s="8" t="s">
        <v>33</v>
      </c>
    </row>
    <row r="732" customFormat="false" ht="15" hidden="false" customHeight="false" outlineLevel="0" collapsed="false">
      <c r="A732" s="8" t="n">
        <v>6773</v>
      </c>
      <c r="B732" s="8" t="n">
        <v>155</v>
      </c>
      <c r="C732" s="8" t="str">
        <f aca="false">IFERROR(INDEX('Project Classifications'!$B$2:$B$231,MATCH(B732,'Project Classifications'!$A$2:$A$231,0)),"")</f>
        <v>A qualitative study of perspectives on postnatal care referrals by Traditional Birth Attendants in Ebonyi State, Nigeria</v>
      </c>
      <c r="D732" s="8" t="s">
        <v>1310</v>
      </c>
      <c r="E732" s="8" t="s">
        <v>562</v>
      </c>
      <c r="F732" s="8" t="s">
        <v>48</v>
      </c>
      <c r="G732" s="8" t="s">
        <v>50</v>
      </c>
      <c r="H732" s="8" t="s">
        <v>49</v>
      </c>
      <c r="I732" s="9" t="n">
        <v>0.125</v>
      </c>
      <c r="J732" s="8" t="s">
        <v>33</v>
      </c>
    </row>
    <row r="733" customFormat="false" ht="15" hidden="false" customHeight="false" outlineLevel="0" collapsed="false">
      <c r="A733" s="8" t="n">
        <v>6774</v>
      </c>
      <c r="B733" s="8" t="n">
        <v>155</v>
      </c>
      <c r="C733" s="8" t="str">
        <f aca="false">IFERROR(INDEX('Project Classifications'!$B$2:$B$231,MATCH(B733,'Project Classifications'!$A$2:$A$231,0)),"")</f>
        <v>A qualitative study of perspectives on postnatal care referrals by Traditional Birth Attendants in Ebonyi State, Nigeria</v>
      </c>
      <c r="D733" s="8" t="s">
        <v>1311</v>
      </c>
      <c r="E733" s="8" t="s">
        <v>562</v>
      </c>
      <c r="F733" s="8" t="s">
        <v>48</v>
      </c>
      <c r="G733" s="8" t="s">
        <v>50</v>
      </c>
      <c r="H733" s="8" t="s">
        <v>49</v>
      </c>
      <c r="I733" s="9" t="n">
        <v>0.125</v>
      </c>
      <c r="J733" s="8" t="s">
        <v>33</v>
      </c>
    </row>
    <row r="734" customFormat="false" ht="15" hidden="false" customHeight="false" outlineLevel="0" collapsed="false">
      <c r="A734" s="8" t="n">
        <v>6775</v>
      </c>
      <c r="B734" s="8" t="n">
        <v>155</v>
      </c>
      <c r="C734" s="8" t="str">
        <f aca="false">IFERROR(INDEX('Project Classifications'!$B$2:$B$231,MATCH(B734,'Project Classifications'!$A$2:$A$231,0)),"")</f>
        <v>A qualitative study of perspectives on postnatal care referrals by Traditional Birth Attendants in Ebonyi State, Nigeria</v>
      </c>
      <c r="D734" s="8" t="s">
        <v>1312</v>
      </c>
      <c r="E734" s="8" t="s">
        <v>574</v>
      </c>
      <c r="F734" s="8" t="s">
        <v>48</v>
      </c>
      <c r="G734" s="8" t="s">
        <v>50</v>
      </c>
      <c r="H734" s="8" t="s">
        <v>49</v>
      </c>
      <c r="I734" s="9" t="n">
        <v>0.125</v>
      </c>
      <c r="J734" s="8" t="s">
        <v>33</v>
      </c>
    </row>
    <row r="735" customFormat="false" ht="15" hidden="false" customHeight="false" outlineLevel="0" collapsed="false">
      <c r="A735" s="8" t="n">
        <v>6819</v>
      </c>
      <c r="B735" s="8" t="n">
        <v>156</v>
      </c>
      <c r="C735" s="8" t="str">
        <f aca="false">IFERROR(INDEX('Project Classifications'!$B$2:$B$231,MATCH(B735,'Project Classifications'!$A$2:$A$231,0)),"")</f>
        <v>Constitute: Constitutional text for scholars and​ drafters</v>
      </c>
      <c r="D735" s="8" t="s">
        <v>1313</v>
      </c>
      <c r="E735" s="8" t="s">
        <v>1314</v>
      </c>
      <c r="F735" s="8" t="s">
        <v>305</v>
      </c>
      <c r="G735" s="8" t="s">
        <v>307</v>
      </c>
      <c r="H735" s="8" t="s">
        <v>306</v>
      </c>
      <c r="I735" s="9" t="n">
        <v>0</v>
      </c>
      <c r="J735" s="8" t="s">
        <v>33</v>
      </c>
    </row>
    <row r="736" customFormat="false" ht="15" hidden="false" customHeight="false" outlineLevel="0" collapsed="false">
      <c r="A736" s="8" t="n">
        <v>6820</v>
      </c>
      <c r="B736" s="8" t="n">
        <v>156</v>
      </c>
      <c r="C736" s="8" t="str">
        <f aca="false">IFERROR(INDEX('Project Classifications'!$B$2:$B$231,MATCH(B736,'Project Classifications'!$A$2:$A$231,0)),"")</f>
        <v>Constitute: Constitutional text for scholars and​ drafters</v>
      </c>
      <c r="D736" s="8" t="s">
        <v>1315</v>
      </c>
      <c r="E736" s="8" t="s">
        <v>600</v>
      </c>
      <c r="F736" s="8" t="s">
        <v>71</v>
      </c>
      <c r="G736" s="8" t="s">
        <v>83</v>
      </c>
      <c r="H736" s="8" t="s">
        <v>84</v>
      </c>
      <c r="I736" s="9" t="n">
        <v>0.25</v>
      </c>
      <c r="J736" s="8" t="s">
        <v>33</v>
      </c>
    </row>
    <row r="737" customFormat="false" ht="15" hidden="false" customHeight="false" outlineLevel="0" collapsed="false">
      <c r="A737" s="8" t="n">
        <v>6821</v>
      </c>
      <c r="B737" s="8" t="n">
        <v>156</v>
      </c>
      <c r="C737" s="8" t="str">
        <f aca="false">IFERROR(INDEX('Project Classifications'!$B$2:$B$231,MATCH(B737,'Project Classifications'!$A$2:$A$231,0)),"")</f>
        <v>Constitute: Constitutional text for scholars and​ drafters</v>
      </c>
      <c r="D737" s="8" t="s">
        <v>1316</v>
      </c>
      <c r="E737" s="8" t="s">
        <v>1317</v>
      </c>
      <c r="F737" s="8" t="s">
        <v>71</v>
      </c>
      <c r="G737" s="8" t="s">
        <v>83</v>
      </c>
      <c r="H737" s="8" t="s">
        <v>84</v>
      </c>
      <c r="I737" s="9" t="n">
        <v>0</v>
      </c>
      <c r="J737" s="8" t="s">
        <v>741</v>
      </c>
    </row>
    <row r="738" customFormat="false" ht="15" hidden="false" customHeight="false" outlineLevel="0" collapsed="false">
      <c r="A738" s="8" t="n">
        <v>6931</v>
      </c>
      <c r="B738" s="8" t="n">
        <v>156</v>
      </c>
      <c r="C738" s="8" t="str">
        <f aca="false">IFERROR(INDEX('Project Classifications'!$B$2:$B$231,MATCH(B738,'Project Classifications'!$A$2:$A$231,0)),"")</f>
        <v>Constitute: Constitutional text for scholars and​ drafters</v>
      </c>
      <c r="D738" s="8" t="s">
        <v>1318</v>
      </c>
      <c r="E738" s="8" t="s">
        <v>574</v>
      </c>
      <c r="F738" s="8" t="s">
        <v>53</v>
      </c>
      <c r="G738" s="8" t="s">
        <v>55</v>
      </c>
      <c r="H738" s="8" t="s">
        <v>56</v>
      </c>
      <c r="I738" s="9" t="n">
        <v>0.285714285714286</v>
      </c>
      <c r="J738" s="8" t="s">
        <v>33</v>
      </c>
    </row>
    <row r="739" customFormat="false" ht="15" hidden="false" customHeight="false" outlineLevel="0" collapsed="false">
      <c r="A739" s="8" t="n">
        <v>6989</v>
      </c>
      <c r="B739" s="8" t="n">
        <v>157</v>
      </c>
      <c r="C739" s="8" t="str">
        <f aca="false">IFERROR(INDEX('Project Classifications'!$B$2:$B$231,MATCH(B739,'Project Classifications'!$A$2:$A$231,0)),"")</f>
        <v>Data for: The Political Legacies of Wartime Resistance</v>
      </c>
      <c r="D739" s="8" t="s">
        <v>653</v>
      </c>
      <c r="E739" s="8" t="s">
        <v>654</v>
      </c>
      <c r="F739" s="8" t="s">
        <v>48</v>
      </c>
      <c r="G739" s="8" t="s">
        <v>50</v>
      </c>
      <c r="H739" s="8" t="s">
        <v>49</v>
      </c>
      <c r="I739" s="9" t="n">
        <v>0.125</v>
      </c>
      <c r="J739" s="8" t="s">
        <v>33</v>
      </c>
    </row>
    <row r="740" customFormat="false" ht="15" hidden="false" customHeight="false" outlineLevel="0" collapsed="false">
      <c r="A740" s="8" t="n">
        <v>6990</v>
      </c>
      <c r="B740" s="8" t="n">
        <v>157</v>
      </c>
      <c r="C740" s="8" t="str">
        <f aca="false">IFERROR(INDEX('Project Classifications'!$B$2:$B$231,MATCH(B740,'Project Classifications'!$A$2:$A$231,0)),"")</f>
        <v>Data for: The Political Legacies of Wartime Resistance</v>
      </c>
      <c r="D740" s="8" t="s">
        <v>1319</v>
      </c>
      <c r="E740" s="8" t="s">
        <v>562</v>
      </c>
      <c r="F740" s="8" t="s">
        <v>48</v>
      </c>
      <c r="G740" s="8" t="s">
        <v>50</v>
      </c>
      <c r="H740" s="8" t="s">
        <v>49</v>
      </c>
      <c r="I740" s="9" t="n">
        <v>0.25</v>
      </c>
      <c r="J740" s="8" t="s">
        <v>33</v>
      </c>
    </row>
    <row r="741" customFormat="false" ht="15" hidden="false" customHeight="false" outlineLevel="0" collapsed="false">
      <c r="A741" s="8" t="n">
        <v>6991</v>
      </c>
      <c r="B741" s="8" t="n">
        <v>157</v>
      </c>
      <c r="C741" s="8" t="str">
        <f aca="false">IFERROR(INDEX('Project Classifications'!$B$2:$B$231,MATCH(B741,'Project Classifications'!$A$2:$A$231,0)),"")</f>
        <v>Data for: The Political Legacies of Wartime Resistance</v>
      </c>
      <c r="D741" s="8" t="s">
        <v>1320</v>
      </c>
      <c r="E741" s="8" t="s">
        <v>1321</v>
      </c>
      <c r="F741" s="8" t="s">
        <v>48</v>
      </c>
      <c r="G741" s="8" t="s">
        <v>50</v>
      </c>
      <c r="H741" s="8" t="s">
        <v>49</v>
      </c>
      <c r="I741" s="9" t="n">
        <v>0</v>
      </c>
      <c r="J741" s="8" t="s">
        <v>741</v>
      </c>
    </row>
    <row r="742" customFormat="false" ht="15" hidden="false" customHeight="false" outlineLevel="0" collapsed="false">
      <c r="A742" s="8" t="n">
        <v>6992</v>
      </c>
      <c r="B742" s="8" t="n">
        <v>157</v>
      </c>
      <c r="C742" s="8" t="str">
        <f aca="false">IFERROR(INDEX('Project Classifications'!$B$2:$B$231,MATCH(B742,'Project Classifications'!$A$2:$A$231,0)),"")</f>
        <v>Data for: The Political Legacies of Wartime Resistance</v>
      </c>
      <c r="D742" s="8" t="s">
        <v>1322</v>
      </c>
      <c r="E742" s="8" t="s">
        <v>1321</v>
      </c>
      <c r="F742" s="8" t="s">
        <v>48</v>
      </c>
      <c r="G742" s="8" t="s">
        <v>50</v>
      </c>
      <c r="H742" s="8" t="s">
        <v>49</v>
      </c>
      <c r="I742" s="9" t="n">
        <v>0</v>
      </c>
      <c r="J742" s="8" t="s">
        <v>741</v>
      </c>
    </row>
    <row r="743" customFormat="false" ht="15" hidden="false" customHeight="false" outlineLevel="0" collapsed="false">
      <c r="A743" s="8" t="n">
        <v>6993</v>
      </c>
      <c r="B743" s="8" t="n">
        <v>157</v>
      </c>
      <c r="C743" s="8" t="str">
        <f aca="false">IFERROR(INDEX('Project Classifications'!$B$2:$B$231,MATCH(B743,'Project Classifications'!$A$2:$A$231,0)),"")</f>
        <v>Data for: The Political Legacies of Wartime Resistance</v>
      </c>
      <c r="D743" s="8" t="s">
        <v>1323</v>
      </c>
      <c r="E743" s="8" t="s">
        <v>1324</v>
      </c>
      <c r="F743" s="8" t="s">
        <v>48</v>
      </c>
      <c r="G743" s="8" t="s">
        <v>50</v>
      </c>
      <c r="H743" s="8" t="s">
        <v>49</v>
      </c>
      <c r="I743" s="9" t="n">
        <v>0</v>
      </c>
      <c r="J743" s="8" t="s">
        <v>741</v>
      </c>
    </row>
    <row r="744" customFormat="false" ht="15" hidden="false" customHeight="false" outlineLevel="0" collapsed="false">
      <c r="A744" s="8" t="n">
        <v>6994</v>
      </c>
      <c r="B744" s="8" t="n">
        <v>157</v>
      </c>
      <c r="C744" s="8" t="str">
        <f aca="false">IFERROR(INDEX('Project Classifications'!$B$2:$B$231,MATCH(B744,'Project Classifications'!$A$2:$A$231,0)),"")</f>
        <v>Data for: The Political Legacies of Wartime Resistance</v>
      </c>
      <c r="D744" s="8" t="s">
        <v>1325</v>
      </c>
      <c r="E744" s="8" t="s">
        <v>1324</v>
      </c>
      <c r="F744" s="8" t="s">
        <v>48</v>
      </c>
      <c r="G744" s="8" t="s">
        <v>50</v>
      </c>
      <c r="H744" s="8" t="s">
        <v>49</v>
      </c>
      <c r="I744" s="9" t="n">
        <v>0</v>
      </c>
      <c r="J744" s="8" t="s">
        <v>741</v>
      </c>
    </row>
    <row r="745" customFormat="false" ht="15" hidden="false" customHeight="false" outlineLevel="0" collapsed="false">
      <c r="A745" s="8" t="n">
        <v>6995</v>
      </c>
      <c r="B745" s="8" t="n">
        <v>157</v>
      </c>
      <c r="C745" s="8" t="str">
        <f aca="false">IFERROR(INDEX('Project Classifications'!$B$2:$B$231,MATCH(B745,'Project Classifications'!$A$2:$A$231,0)),"")</f>
        <v>Data for: The Political Legacies of Wartime Resistance</v>
      </c>
      <c r="D745" s="8" t="s">
        <v>1326</v>
      </c>
      <c r="E745" s="8" t="s">
        <v>1324</v>
      </c>
      <c r="F745" s="8" t="s">
        <v>48</v>
      </c>
      <c r="G745" s="8" t="s">
        <v>50</v>
      </c>
      <c r="H745" s="8" t="s">
        <v>49</v>
      </c>
      <c r="I745" s="9" t="n">
        <v>0</v>
      </c>
      <c r="J745" s="8" t="s">
        <v>741</v>
      </c>
    </row>
    <row r="746" customFormat="false" ht="15" hidden="false" customHeight="false" outlineLevel="0" collapsed="false">
      <c r="A746" s="8" t="n">
        <v>6996</v>
      </c>
      <c r="B746" s="8" t="n">
        <v>157</v>
      </c>
      <c r="C746" s="8" t="str">
        <f aca="false">IFERROR(INDEX('Project Classifications'!$B$2:$B$231,MATCH(B746,'Project Classifications'!$A$2:$A$231,0)),"")</f>
        <v>Data for: The Political Legacies of Wartime Resistance</v>
      </c>
      <c r="D746" s="8" t="s">
        <v>1327</v>
      </c>
      <c r="E746" s="8" t="s">
        <v>1324</v>
      </c>
      <c r="F746" s="8" t="s">
        <v>48</v>
      </c>
      <c r="G746" s="8" t="s">
        <v>50</v>
      </c>
      <c r="H746" s="8" t="s">
        <v>49</v>
      </c>
      <c r="I746" s="9" t="n">
        <v>0</v>
      </c>
      <c r="J746" s="8" t="s">
        <v>741</v>
      </c>
    </row>
    <row r="747" customFormat="false" ht="15" hidden="false" customHeight="false" outlineLevel="0" collapsed="false">
      <c r="A747" s="8" t="n">
        <v>6997</v>
      </c>
      <c r="B747" s="8" t="n">
        <v>157</v>
      </c>
      <c r="C747" s="8" t="str">
        <f aca="false">IFERROR(INDEX('Project Classifications'!$B$2:$B$231,MATCH(B747,'Project Classifications'!$A$2:$A$231,0)),"")</f>
        <v>Data for: The Political Legacies of Wartime Resistance</v>
      </c>
      <c r="D747" s="8" t="s">
        <v>1328</v>
      </c>
      <c r="E747" s="8" t="s">
        <v>1324</v>
      </c>
      <c r="F747" s="8" t="s">
        <v>48</v>
      </c>
      <c r="G747" s="8" t="s">
        <v>50</v>
      </c>
      <c r="H747" s="8" t="s">
        <v>49</v>
      </c>
      <c r="I747" s="9" t="n">
        <v>0</v>
      </c>
      <c r="J747" s="8" t="s">
        <v>741</v>
      </c>
    </row>
    <row r="748" customFormat="false" ht="15" hidden="false" customHeight="false" outlineLevel="0" collapsed="false">
      <c r="A748" s="8" t="n">
        <v>6998</v>
      </c>
      <c r="B748" s="8" t="n">
        <v>157</v>
      </c>
      <c r="C748" s="8" t="str">
        <f aca="false">IFERROR(INDEX('Project Classifications'!$B$2:$B$231,MATCH(B748,'Project Classifications'!$A$2:$A$231,0)),"")</f>
        <v>Data for: The Political Legacies of Wartime Resistance</v>
      </c>
      <c r="D748" s="8" t="s">
        <v>1329</v>
      </c>
      <c r="E748" s="8" t="s">
        <v>1321</v>
      </c>
      <c r="F748" s="8" t="s">
        <v>48</v>
      </c>
      <c r="G748" s="8" t="s">
        <v>50</v>
      </c>
      <c r="H748" s="8" t="s">
        <v>49</v>
      </c>
      <c r="I748" s="9" t="n">
        <v>0</v>
      </c>
      <c r="J748" s="8" t="s">
        <v>741</v>
      </c>
    </row>
    <row r="749" customFormat="false" ht="15" hidden="false" customHeight="false" outlineLevel="0" collapsed="false">
      <c r="A749" s="8" t="n">
        <v>6999</v>
      </c>
      <c r="B749" s="8" t="n">
        <v>157</v>
      </c>
      <c r="C749" s="8" t="str">
        <f aca="false">IFERROR(INDEX('Project Classifications'!$B$2:$B$231,MATCH(B749,'Project Classifications'!$A$2:$A$231,0)),"")</f>
        <v>Data for: The Political Legacies of Wartime Resistance</v>
      </c>
      <c r="D749" s="8" t="s">
        <v>1330</v>
      </c>
      <c r="E749" s="8" t="s">
        <v>1324</v>
      </c>
      <c r="F749" s="8" t="s">
        <v>48</v>
      </c>
      <c r="G749" s="8" t="s">
        <v>50</v>
      </c>
      <c r="H749" s="8" t="s">
        <v>49</v>
      </c>
      <c r="I749" s="9" t="n">
        <v>0</v>
      </c>
      <c r="J749" s="8" t="s">
        <v>741</v>
      </c>
    </row>
    <row r="750" customFormat="false" ht="15" hidden="false" customHeight="false" outlineLevel="0" collapsed="false">
      <c r="A750" s="8" t="n">
        <v>7000</v>
      </c>
      <c r="B750" s="8" t="n">
        <v>157</v>
      </c>
      <c r="C750" s="8" t="str">
        <f aca="false">IFERROR(INDEX('Project Classifications'!$B$2:$B$231,MATCH(B750,'Project Classifications'!$A$2:$A$231,0)),"")</f>
        <v>Data for: The Political Legacies of Wartime Resistance</v>
      </c>
      <c r="D750" s="8" t="s">
        <v>1331</v>
      </c>
      <c r="E750" s="8" t="s">
        <v>1324</v>
      </c>
      <c r="F750" s="8" t="s">
        <v>48</v>
      </c>
      <c r="G750" s="8" t="s">
        <v>50</v>
      </c>
      <c r="H750" s="8" t="s">
        <v>49</v>
      </c>
      <c r="I750" s="9" t="n">
        <v>0</v>
      </c>
      <c r="J750" s="8" t="s">
        <v>741</v>
      </c>
    </row>
    <row r="751" customFormat="false" ht="15" hidden="false" customHeight="false" outlineLevel="0" collapsed="false">
      <c r="A751" s="8" t="n">
        <v>7001</v>
      </c>
      <c r="B751" s="8" t="n">
        <v>157</v>
      </c>
      <c r="C751" s="8" t="str">
        <f aca="false">IFERROR(INDEX('Project Classifications'!$B$2:$B$231,MATCH(B751,'Project Classifications'!$A$2:$A$231,0)),"")</f>
        <v>Data for: The Political Legacies of Wartime Resistance</v>
      </c>
      <c r="D751" s="8" t="s">
        <v>1332</v>
      </c>
      <c r="E751" s="8" t="s">
        <v>934</v>
      </c>
      <c r="F751" s="8" t="s">
        <v>48</v>
      </c>
      <c r="G751" s="8" t="s">
        <v>50</v>
      </c>
      <c r="H751" s="8" t="s">
        <v>49</v>
      </c>
      <c r="I751" s="9" t="n">
        <v>0</v>
      </c>
      <c r="J751" s="8" t="s">
        <v>741</v>
      </c>
    </row>
    <row r="752" customFormat="false" ht="15" hidden="false" customHeight="false" outlineLevel="0" collapsed="false">
      <c r="A752" s="8" t="n">
        <v>7002</v>
      </c>
      <c r="B752" s="8" t="n">
        <v>157</v>
      </c>
      <c r="C752" s="8" t="str">
        <f aca="false">IFERROR(INDEX('Project Classifications'!$B$2:$B$231,MATCH(B752,'Project Classifications'!$A$2:$A$231,0)),"")</f>
        <v>Data for: The Political Legacies of Wartime Resistance</v>
      </c>
      <c r="D752" s="8" t="s">
        <v>1333</v>
      </c>
      <c r="E752" s="8" t="s">
        <v>574</v>
      </c>
      <c r="F752" s="8" t="s">
        <v>53</v>
      </c>
      <c r="G752" s="8" t="s">
        <v>55</v>
      </c>
      <c r="H752" s="8" t="s">
        <v>56</v>
      </c>
      <c r="I752" s="9" t="n">
        <v>0.285714285714286</v>
      </c>
      <c r="J752" s="8" t="s">
        <v>33</v>
      </c>
    </row>
    <row r="753" customFormat="false" ht="15" hidden="false" customHeight="false" outlineLevel="0" collapsed="false">
      <c r="A753" s="8" t="n">
        <v>7003</v>
      </c>
      <c r="B753" s="8" t="n">
        <v>158</v>
      </c>
      <c r="C753" s="8" t="str">
        <f aca="false">IFERROR(INDEX('Project Classifications'!$B$2:$B$231,MATCH(B753,'Project Classifications'!$A$2:$A$231,0)),"")</f>
        <v>Monstrosity and Dehumanization in the 2016 U.S. Presidential Contest</v>
      </c>
      <c r="D753" s="8" t="s">
        <v>1334</v>
      </c>
      <c r="E753" s="8" t="s">
        <v>600</v>
      </c>
      <c r="F753" s="8" t="s">
        <v>42</v>
      </c>
      <c r="G753" s="8" t="s">
        <v>44</v>
      </c>
      <c r="H753" s="8" t="s">
        <v>45</v>
      </c>
      <c r="I753" s="9" t="n">
        <v>0.111111111111111</v>
      </c>
      <c r="J753" s="8" t="s">
        <v>33</v>
      </c>
    </row>
    <row r="754" customFormat="false" ht="15" hidden="false" customHeight="false" outlineLevel="0" collapsed="false">
      <c r="A754" s="8" t="n">
        <v>7004</v>
      </c>
      <c r="B754" s="8" t="n">
        <v>158</v>
      </c>
      <c r="C754" s="8" t="str">
        <f aca="false">IFERROR(INDEX('Project Classifications'!$B$2:$B$231,MATCH(B754,'Project Classifications'!$A$2:$A$231,0)),"")</f>
        <v>Monstrosity and Dehumanization in the 2016 U.S. Presidential Contest</v>
      </c>
      <c r="D754" s="8" t="s">
        <v>1335</v>
      </c>
      <c r="E754" s="8" t="s">
        <v>574</v>
      </c>
      <c r="F754" s="8" t="s">
        <v>53</v>
      </c>
      <c r="G754" s="8" t="s">
        <v>55</v>
      </c>
      <c r="H754" s="8" t="s">
        <v>56</v>
      </c>
      <c r="I754" s="9" t="n">
        <v>0.142857142857143</v>
      </c>
      <c r="J754" s="8" t="s">
        <v>33</v>
      </c>
    </row>
    <row r="755" customFormat="false" ht="15" hidden="false" customHeight="false" outlineLevel="0" collapsed="false">
      <c r="A755" s="8" t="n">
        <v>7006</v>
      </c>
      <c r="B755" s="8" t="n">
        <v>158</v>
      </c>
      <c r="C755" s="8" t="str">
        <f aca="false">IFERROR(INDEX('Project Classifications'!$B$2:$B$231,MATCH(B755,'Project Classifications'!$A$2:$A$231,0)),"")</f>
        <v>Monstrosity and Dehumanization in the 2016 U.S. Presidential Contest</v>
      </c>
      <c r="D755" s="8" t="s">
        <v>1336</v>
      </c>
      <c r="E755" s="8" t="s">
        <v>562</v>
      </c>
      <c r="F755" s="8" t="s">
        <v>117</v>
      </c>
      <c r="G755" s="8" t="s">
        <v>119</v>
      </c>
      <c r="H755" s="8" t="s">
        <v>120</v>
      </c>
      <c r="I755" s="9" t="n">
        <v>0.25</v>
      </c>
      <c r="J755" s="8" t="s">
        <v>33</v>
      </c>
    </row>
    <row r="756" customFormat="false" ht="15" hidden="false" customHeight="false" outlineLevel="0" collapsed="false">
      <c r="A756" s="8" t="n">
        <v>7055</v>
      </c>
      <c r="B756" s="8" t="n">
        <v>160</v>
      </c>
      <c r="C756" s="8" t="str">
        <f aca="false">IFERROR(INDEX('Project Classifications'!$B$2:$B$231,MATCH(B756,'Project Classifications'!$A$2:$A$231,0)),"")</f>
        <v>Data for: “The politics of polarization: Governance and party system change in Latin America, 1990-2010”</v>
      </c>
      <c r="D756" s="8" t="s">
        <v>653</v>
      </c>
      <c r="E756" s="8" t="s">
        <v>654</v>
      </c>
      <c r="F756" s="8" t="s">
        <v>305</v>
      </c>
      <c r="G756" s="8" t="s">
        <v>307</v>
      </c>
      <c r="H756" s="8" t="s">
        <v>306</v>
      </c>
      <c r="I756" s="9" t="n">
        <v>0</v>
      </c>
      <c r="J756" s="8" t="s">
        <v>33</v>
      </c>
    </row>
    <row r="757" customFormat="false" ht="15" hidden="false" customHeight="false" outlineLevel="0" collapsed="false">
      <c r="A757" s="8" t="n">
        <v>7090</v>
      </c>
      <c r="B757" s="8" t="n">
        <v>160</v>
      </c>
      <c r="C757" s="8" t="str">
        <f aca="false">IFERROR(INDEX('Project Classifications'!$B$2:$B$231,MATCH(B757,'Project Classifications'!$A$2:$A$231,0)),"")</f>
        <v>Data for: “The politics of polarization: Governance and party system change in Latin America, 1990-2010”</v>
      </c>
      <c r="D757" s="8" t="s">
        <v>1337</v>
      </c>
      <c r="E757" s="8" t="s">
        <v>574</v>
      </c>
      <c r="F757" s="8" t="s">
        <v>53</v>
      </c>
      <c r="G757" s="8" t="s">
        <v>55</v>
      </c>
      <c r="H757" s="8" t="s">
        <v>56</v>
      </c>
      <c r="I757" s="9" t="n">
        <v>0.285714285714286</v>
      </c>
      <c r="J757" s="8" t="s">
        <v>33</v>
      </c>
    </row>
    <row r="758" customFormat="false" ht="15" hidden="false" customHeight="false" outlineLevel="0" collapsed="false">
      <c r="A758" s="8" t="n">
        <v>7091</v>
      </c>
      <c r="B758" s="8" t="n">
        <v>161</v>
      </c>
      <c r="C758" s="8" t="str">
        <f aca="false">IFERROR(INDEX('Project Classifications'!$B$2:$B$231,MATCH(B758,'Project Classifications'!$A$2:$A$231,0)),"")</f>
        <v>Data for: The Structure of Description: Evaluating Historical Description and its Role in Theorizing</v>
      </c>
      <c r="D758" s="8" t="s">
        <v>653</v>
      </c>
      <c r="E758" s="8" t="s">
        <v>654</v>
      </c>
      <c r="F758" s="8" t="s">
        <v>53</v>
      </c>
      <c r="G758" s="8" t="s">
        <v>55</v>
      </c>
      <c r="H758" s="8" t="s">
        <v>56</v>
      </c>
      <c r="I758" s="9" t="n">
        <v>0.142857142857143</v>
      </c>
      <c r="J758" s="8" t="s">
        <v>33</v>
      </c>
    </row>
    <row r="759" customFormat="false" ht="15" hidden="false" customHeight="false" outlineLevel="0" collapsed="false">
      <c r="A759" s="8" t="n">
        <v>7092</v>
      </c>
      <c r="B759" s="8" t="n">
        <v>161</v>
      </c>
      <c r="C759" s="8" t="str">
        <f aca="false">IFERROR(INDEX('Project Classifications'!$B$2:$B$231,MATCH(B759,'Project Classifications'!$A$2:$A$231,0)),"")</f>
        <v>Data for: The Structure of Description: Evaluating Historical Description and its Role in Theorizing</v>
      </c>
      <c r="D759" s="8" t="s">
        <v>1338</v>
      </c>
      <c r="E759" s="8" t="s">
        <v>562</v>
      </c>
      <c r="F759" s="8" t="s">
        <v>71</v>
      </c>
      <c r="G759" s="8" t="s">
        <v>83</v>
      </c>
      <c r="H759" s="8" t="s">
        <v>84</v>
      </c>
      <c r="I759" s="9" t="n">
        <v>0.25</v>
      </c>
      <c r="J759" s="8" t="s">
        <v>33</v>
      </c>
    </row>
    <row r="760" customFormat="false" ht="15" hidden="false" customHeight="false" outlineLevel="0" collapsed="false">
      <c r="A760" s="8" t="n">
        <v>7093</v>
      </c>
      <c r="B760" s="8" t="n">
        <v>162</v>
      </c>
      <c r="C760" s="8" t="str">
        <f aca="false">IFERROR(INDEX('Project Classifications'!$B$2:$B$231,MATCH(B760,'Project Classifications'!$A$2:$A$231,0)),"")</f>
        <v>Data for: Women Insurgents, Rebel Organization Structure and Sustaining the Rebellion:  The Case of Kurdistan Workers’ Party</v>
      </c>
      <c r="D760" s="8" t="s">
        <v>1339</v>
      </c>
      <c r="E760" s="8" t="s">
        <v>562</v>
      </c>
      <c r="F760" s="8" t="s">
        <v>53</v>
      </c>
      <c r="G760" s="8" t="s">
        <v>55</v>
      </c>
      <c r="H760" s="8" t="s">
        <v>56</v>
      </c>
      <c r="I760" s="9" t="n">
        <v>0.142857142857143</v>
      </c>
      <c r="J760" s="8" t="s">
        <v>33</v>
      </c>
    </row>
    <row r="761" customFormat="false" ht="15" hidden="false" customHeight="false" outlineLevel="0" collapsed="false">
      <c r="A761" s="8" t="n">
        <v>7095</v>
      </c>
      <c r="B761" s="8" t="n">
        <v>162</v>
      </c>
      <c r="C761" s="8" t="str">
        <f aca="false">IFERROR(INDEX('Project Classifications'!$B$2:$B$231,MATCH(B761,'Project Classifications'!$A$2:$A$231,0)),"")</f>
        <v>Data for: Women Insurgents, Rebel Organization Structure and Sustaining the Rebellion:  The Case of Kurdistan Workers’ Party</v>
      </c>
      <c r="D761" s="8" t="s">
        <v>1340</v>
      </c>
      <c r="E761" s="8" t="s">
        <v>574</v>
      </c>
      <c r="F761" s="8" t="s">
        <v>53</v>
      </c>
      <c r="G761" s="8" t="s">
        <v>55</v>
      </c>
      <c r="H761" s="8" t="s">
        <v>56</v>
      </c>
      <c r="I761" s="9" t="n">
        <v>0.285714285714286</v>
      </c>
      <c r="J761" s="8" t="s">
        <v>33</v>
      </c>
    </row>
    <row r="762" customFormat="false" ht="15" hidden="false" customHeight="false" outlineLevel="0" collapsed="false">
      <c r="A762" s="8" t="n">
        <v>7096</v>
      </c>
      <c r="B762" s="8" t="n">
        <v>163</v>
      </c>
      <c r="C762" s="8" t="str">
        <f aca="false">IFERROR(INDEX('Project Classifications'!$B$2:$B$231,MATCH(B762,'Project Classifications'!$A$2:$A$231,0)),"")</f>
        <v>Data for: Debating Algorithmic Fairness</v>
      </c>
      <c r="D762" s="8" t="s">
        <v>653</v>
      </c>
      <c r="E762" s="8" t="s">
        <v>654</v>
      </c>
      <c r="F762" s="8" t="s">
        <v>53</v>
      </c>
      <c r="G762" s="8" t="s">
        <v>55</v>
      </c>
      <c r="H762" s="8" t="s">
        <v>56</v>
      </c>
      <c r="I762" s="9" t="n">
        <v>0.142857142857143</v>
      </c>
      <c r="J762" s="8" t="s">
        <v>33</v>
      </c>
    </row>
    <row r="763" customFormat="false" ht="15" hidden="false" customHeight="false" outlineLevel="0" collapsed="false">
      <c r="A763" s="8" t="n">
        <v>7098</v>
      </c>
      <c r="B763" s="8" t="n">
        <v>163</v>
      </c>
      <c r="C763" s="8" t="str">
        <f aca="false">IFERROR(INDEX('Project Classifications'!$B$2:$B$231,MATCH(B763,'Project Classifications'!$A$2:$A$231,0)),"")</f>
        <v>Data for: Debating Algorithmic Fairness</v>
      </c>
      <c r="D763" s="8" t="s">
        <v>1341</v>
      </c>
      <c r="E763" s="8" t="s">
        <v>562</v>
      </c>
      <c r="F763" s="8" t="s">
        <v>305</v>
      </c>
      <c r="G763" s="8" t="s">
        <v>307</v>
      </c>
      <c r="H763" s="8" t="s">
        <v>306</v>
      </c>
      <c r="I763" s="9" t="n">
        <v>0</v>
      </c>
      <c r="J763" s="8" t="s">
        <v>33</v>
      </c>
    </row>
    <row r="764" customFormat="false" ht="15" hidden="false" customHeight="false" outlineLevel="0" collapsed="false">
      <c r="A764" s="8" t="n">
        <v>7113</v>
      </c>
      <c r="B764" s="8" t="n">
        <v>164</v>
      </c>
      <c r="C764" s="8" t="str">
        <f aca="false">IFERROR(INDEX('Project Classifications'!$B$2:$B$231,MATCH(B764,'Project Classifications'!$A$2:$A$231,0)),"")</f>
        <v>Data for: COVID Diaries, Part II: U.S. Media Response to COVID Vaccination Program, December 2020 to September 2021</v>
      </c>
      <c r="D764" s="8" t="s">
        <v>1342</v>
      </c>
      <c r="E764" s="8" t="s">
        <v>562</v>
      </c>
      <c r="F764" s="8" t="s">
        <v>42</v>
      </c>
      <c r="G764" s="8" t="s">
        <v>44</v>
      </c>
      <c r="H764" s="8" t="s">
        <v>45</v>
      </c>
      <c r="I764" s="9" t="n">
        <v>0.111111111111111</v>
      </c>
      <c r="J764" s="8" t="s">
        <v>33</v>
      </c>
    </row>
    <row r="765" customFormat="false" ht="15" hidden="false" customHeight="false" outlineLevel="0" collapsed="false">
      <c r="A765" s="8" t="n">
        <v>7114</v>
      </c>
      <c r="B765" s="8" t="n">
        <v>164</v>
      </c>
      <c r="C765" s="8" t="str">
        <f aca="false">IFERROR(INDEX('Project Classifications'!$B$2:$B$231,MATCH(B765,'Project Classifications'!$A$2:$A$231,0)),"")</f>
        <v>Data for: COVID Diaries, Part II: U.S. Media Response to COVID Vaccination Program, December 2020 to September 2021</v>
      </c>
      <c r="D765" s="8" t="s">
        <v>1343</v>
      </c>
      <c r="E765" s="8" t="s">
        <v>600</v>
      </c>
      <c r="F765" s="8" t="s">
        <v>42</v>
      </c>
      <c r="G765" s="8" t="s">
        <v>44</v>
      </c>
      <c r="H765" s="8" t="s">
        <v>45</v>
      </c>
      <c r="I765" s="9" t="n">
        <v>0.111111111111111</v>
      </c>
      <c r="J765" s="8" t="s">
        <v>33</v>
      </c>
    </row>
    <row r="766" customFormat="false" ht="15" hidden="false" customHeight="false" outlineLevel="0" collapsed="false">
      <c r="A766" s="8" t="n">
        <v>7115</v>
      </c>
      <c r="B766" s="8" t="n">
        <v>164</v>
      </c>
      <c r="C766" s="8" t="str">
        <f aca="false">IFERROR(INDEX('Project Classifications'!$B$2:$B$231,MATCH(B766,'Project Classifications'!$A$2:$A$231,0)),"")</f>
        <v>Data for: COVID Diaries, Part II: U.S. Media Response to COVID Vaccination Program, December 2020 to September 2021</v>
      </c>
      <c r="D766" s="8" t="s">
        <v>1344</v>
      </c>
      <c r="E766" s="8" t="s">
        <v>562</v>
      </c>
      <c r="F766" s="8" t="s">
        <v>48</v>
      </c>
      <c r="G766" s="8" t="s">
        <v>50</v>
      </c>
      <c r="H766" s="8" t="s">
        <v>49</v>
      </c>
      <c r="I766" s="9" t="n">
        <v>0.0625</v>
      </c>
      <c r="J766" s="8" t="s">
        <v>33</v>
      </c>
    </row>
    <row r="767" customFormat="false" ht="15" hidden="false" customHeight="false" outlineLevel="0" collapsed="false">
      <c r="A767" s="8" t="n">
        <v>7116</v>
      </c>
      <c r="B767" s="8" t="n">
        <v>164</v>
      </c>
      <c r="C767" s="8" t="str">
        <f aca="false">IFERROR(INDEX('Project Classifications'!$B$2:$B$231,MATCH(B767,'Project Classifications'!$A$2:$A$231,0)),"")</f>
        <v>Data for: COVID Diaries, Part II: U.S. Media Response to COVID Vaccination Program, December 2020 to September 2021</v>
      </c>
      <c r="D767" s="8" t="s">
        <v>1345</v>
      </c>
      <c r="E767" s="8" t="s">
        <v>574</v>
      </c>
      <c r="F767" s="8" t="s">
        <v>53</v>
      </c>
      <c r="G767" s="8" t="s">
        <v>55</v>
      </c>
      <c r="H767" s="8" t="s">
        <v>56</v>
      </c>
      <c r="I767" s="9" t="n">
        <v>0.285714285714286</v>
      </c>
      <c r="J767" s="8" t="s">
        <v>33</v>
      </c>
    </row>
    <row r="768" customFormat="false" ht="15" hidden="false" customHeight="false" outlineLevel="0" collapsed="false">
      <c r="A768" s="8" t="n">
        <v>7117</v>
      </c>
      <c r="B768" s="8" t="n">
        <v>165</v>
      </c>
      <c r="C768" s="8" t="str">
        <f aca="false">IFERROR(INDEX('Project Classifications'!$B$2:$B$231,MATCH(B768,'Project Classifications'!$A$2:$A$231,0)),"")</f>
        <v>Data for: “Democratic and Judicial Stagnation,” in: Pathways to Judicial Power in Transitional States: Perspectives from African Courts</v>
      </c>
      <c r="D768" s="8" t="s">
        <v>653</v>
      </c>
      <c r="E768" s="8" t="s">
        <v>654</v>
      </c>
      <c r="F768" s="8" t="s">
        <v>53</v>
      </c>
      <c r="G768" s="8" t="s">
        <v>55</v>
      </c>
      <c r="H768" s="8" t="s">
        <v>56</v>
      </c>
      <c r="I768" s="9" t="n">
        <v>0.142857142857143</v>
      </c>
      <c r="J768" s="8" t="s">
        <v>33</v>
      </c>
    </row>
    <row r="769" customFormat="false" ht="15" hidden="false" customHeight="false" outlineLevel="0" collapsed="false">
      <c r="A769" s="8" t="n">
        <v>7160</v>
      </c>
      <c r="B769" s="8" t="n">
        <v>165</v>
      </c>
      <c r="C769" s="8" t="str">
        <f aca="false">IFERROR(INDEX('Project Classifications'!$B$2:$B$231,MATCH(B769,'Project Classifications'!$A$2:$A$231,0)),"")</f>
        <v>Data for: “Democratic and Judicial Stagnation,” in: Pathways to Judicial Power in Transitional States: Perspectives from African Courts</v>
      </c>
      <c r="D769" s="8" t="s">
        <v>1346</v>
      </c>
      <c r="E769" s="8" t="s">
        <v>574</v>
      </c>
      <c r="F769" s="8" t="s">
        <v>53</v>
      </c>
      <c r="G769" s="8" t="s">
        <v>55</v>
      </c>
      <c r="H769" s="8" t="s">
        <v>56</v>
      </c>
      <c r="I769" s="9" t="n">
        <v>0.285714285714286</v>
      </c>
      <c r="J769" s="8" t="s">
        <v>33</v>
      </c>
    </row>
    <row r="770" customFormat="false" ht="15" hidden="false" customHeight="false" outlineLevel="0" collapsed="false">
      <c r="A770" s="8" t="n">
        <v>7161</v>
      </c>
      <c r="B770" s="8" t="n">
        <v>166</v>
      </c>
      <c r="C770" s="8" t="str">
        <f aca="false">IFERROR(INDEX('Project Classifications'!$B$2:$B$231,MATCH(B770,'Project Classifications'!$A$2:$A$231,0)),"")</f>
        <v>Interstate War Initiation and Termination (I-WIT) data set</v>
      </c>
      <c r="D770" s="8" t="s">
        <v>1347</v>
      </c>
      <c r="E770" s="8" t="s">
        <v>574</v>
      </c>
      <c r="F770" s="8" t="s">
        <v>53</v>
      </c>
      <c r="G770" s="8" t="s">
        <v>55</v>
      </c>
      <c r="H770" s="8" t="s">
        <v>56</v>
      </c>
      <c r="I770" s="9" t="n">
        <v>0.142857142857143</v>
      </c>
      <c r="J770" s="8" t="s">
        <v>33</v>
      </c>
    </row>
    <row r="771" customFormat="false" ht="15" hidden="false" customHeight="false" outlineLevel="0" collapsed="false">
      <c r="A771" s="8" t="n">
        <v>7162</v>
      </c>
      <c r="B771" s="8" t="n">
        <v>166</v>
      </c>
      <c r="C771" s="8" t="str">
        <f aca="false">IFERROR(INDEX('Project Classifications'!$B$2:$B$231,MATCH(B771,'Project Classifications'!$A$2:$A$231,0)),"")</f>
        <v>Interstate War Initiation and Termination (I-WIT) data set</v>
      </c>
      <c r="D771" s="8" t="s">
        <v>1348</v>
      </c>
      <c r="E771" s="8" t="s">
        <v>562</v>
      </c>
      <c r="F771" s="8" t="s">
        <v>71</v>
      </c>
      <c r="G771" s="8" t="s">
        <v>83</v>
      </c>
      <c r="H771" s="8" t="s">
        <v>84</v>
      </c>
      <c r="I771" s="9" t="n">
        <v>0.25</v>
      </c>
      <c r="J771" s="8" t="s">
        <v>33</v>
      </c>
    </row>
    <row r="772" customFormat="false" ht="15" hidden="false" customHeight="false" outlineLevel="0" collapsed="false">
      <c r="A772" s="8" t="n">
        <v>7163</v>
      </c>
      <c r="B772" s="8" t="n">
        <v>166</v>
      </c>
      <c r="C772" s="8" t="str">
        <f aca="false">IFERROR(INDEX('Project Classifications'!$B$2:$B$231,MATCH(B772,'Project Classifications'!$A$2:$A$231,0)),"")</f>
        <v>Interstate War Initiation and Termination (I-WIT) data set</v>
      </c>
      <c r="D772" s="8" t="s">
        <v>1349</v>
      </c>
      <c r="E772" s="8" t="s">
        <v>562</v>
      </c>
      <c r="F772" s="8" t="s">
        <v>320</v>
      </c>
      <c r="G772" s="8" t="s">
        <v>322</v>
      </c>
      <c r="H772" s="8" t="s">
        <v>321</v>
      </c>
      <c r="I772" s="9" t="n">
        <v>0.333333333333333</v>
      </c>
      <c r="J772" s="8" t="s">
        <v>33</v>
      </c>
    </row>
    <row r="773" customFormat="false" ht="15" hidden="false" customHeight="false" outlineLevel="0" collapsed="false">
      <c r="A773" s="8" t="n">
        <v>7306</v>
      </c>
      <c r="B773" s="8" t="n">
        <v>167</v>
      </c>
      <c r="C773" s="8" t="str">
        <f aca="false">IFERROR(INDEX('Project Classifications'!$B$2:$B$231,MATCH(B773,'Project Classifications'!$A$2:$A$231,0)),"")</f>
        <v>Data for: Appreciative Inquiry Study of Asynchronous Teleconsultations</v>
      </c>
      <c r="D773" s="8" t="s">
        <v>1350</v>
      </c>
      <c r="E773" s="8" t="s">
        <v>562</v>
      </c>
      <c r="F773" s="8" t="s">
        <v>42</v>
      </c>
      <c r="G773" s="8" t="s">
        <v>44</v>
      </c>
      <c r="H773" s="8" t="s">
        <v>45</v>
      </c>
      <c r="I773" s="9" t="n">
        <v>0.222222222222222</v>
      </c>
      <c r="J773" s="8" t="s">
        <v>33</v>
      </c>
    </row>
    <row r="774" customFormat="false" ht="15" hidden="false" customHeight="false" outlineLevel="0" collapsed="false">
      <c r="A774" s="8" t="n">
        <v>7307</v>
      </c>
      <c r="B774" s="8" t="n">
        <v>167</v>
      </c>
      <c r="C774" s="8" t="str">
        <f aca="false">IFERROR(INDEX('Project Classifications'!$B$2:$B$231,MATCH(B774,'Project Classifications'!$A$2:$A$231,0)),"")</f>
        <v>Data for: Appreciative Inquiry Study of Asynchronous Teleconsultations</v>
      </c>
      <c r="D774" s="8" t="s">
        <v>1351</v>
      </c>
      <c r="E774" s="8" t="s">
        <v>562</v>
      </c>
      <c r="F774" s="8" t="s">
        <v>42</v>
      </c>
      <c r="G774" s="8" t="s">
        <v>44</v>
      </c>
      <c r="H774" s="8" t="s">
        <v>45</v>
      </c>
      <c r="I774" s="9" t="n">
        <v>0.222222222222222</v>
      </c>
      <c r="J774" s="8" t="s">
        <v>33</v>
      </c>
    </row>
    <row r="775" customFormat="false" ht="15" hidden="false" customHeight="false" outlineLevel="0" collapsed="false">
      <c r="A775" s="8" t="n">
        <v>7308</v>
      </c>
      <c r="B775" s="8" t="n">
        <v>167</v>
      </c>
      <c r="C775" s="8" t="str">
        <f aca="false">IFERROR(INDEX('Project Classifications'!$B$2:$B$231,MATCH(B775,'Project Classifications'!$A$2:$A$231,0)),"")</f>
        <v>Data for: Appreciative Inquiry Study of Asynchronous Teleconsultations</v>
      </c>
      <c r="D775" s="8" t="s">
        <v>1352</v>
      </c>
      <c r="E775" s="8" t="s">
        <v>574</v>
      </c>
      <c r="F775" s="8" t="s">
        <v>42</v>
      </c>
      <c r="G775" s="8" t="s">
        <v>44</v>
      </c>
      <c r="H775" s="8" t="s">
        <v>45</v>
      </c>
      <c r="I775" s="9" t="n">
        <v>0.333333333333333</v>
      </c>
      <c r="J775" s="8" t="s">
        <v>33</v>
      </c>
    </row>
    <row r="776" customFormat="false" ht="15" hidden="false" customHeight="false" outlineLevel="0" collapsed="false">
      <c r="A776" s="8" t="n">
        <v>7311</v>
      </c>
      <c r="B776" s="8" t="n">
        <v>168</v>
      </c>
      <c r="C776" s="8" t="str">
        <f aca="false">IFERROR(INDEX('Project Classifications'!$B$2:$B$231,MATCH(B776,'Project Classifications'!$A$2:$A$231,0)),"")</f>
        <v>Data for: Critical Review of Digital Family Scholarship and the Internet as an Institution</v>
      </c>
      <c r="D776" s="8" t="s">
        <v>1353</v>
      </c>
      <c r="E776" s="8" t="s">
        <v>574</v>
      </c>
      <c r="F776" s="8" t="s">
        <v>53</v>
      </c>
      <c r="G776" s="8" t="s">
        <v>55</v>
      </c>
      <c r="H776" s="8" t="s">
        <v>56</v>
      </c>
      <c r="I776" s="9" t="n">
        <v>0.285714285714286</v>
      </c>
      <c r="J776" s="8" t="s">
        <v>33</v>
      </c>
    </row>
    <row r="777" customFormat="false" ht="15" hidden="false" customHeight="false" outlineLevel="0" collapsed="false">
      <c r="A777" s="8" t="n">
        <v>7327</v>
      </c>
      <c r="B777" s="8" t="n">
        <v>170</v>
      </c>
      <c r="C777" s="8" t="str">
        <f aca="false">IFERROR(INDEX('Project Classifications'!$B$2:$B$231,MATCH(B777,'Project Classifications'!$A$2:$A$231,0)),"")</f>
        <v>Non Task-Specific Training</v>
      </c>
      <c r="D777" s="8" t="s">
        <v>1354</v>
      </c>
      <c r="E777" s="8" t="s">
        <v>600</v>
      </c>
      <c r="F777" s="8" t="s">
        <v>305</v>
      </c>
      <c r="G777" s="8" t="s">
        <v>307</v>
      </c>
      <c r="H777" s="8" t="s">
        <v>306</v>
      </c>
      <c r="I777" s="9" t="n">
        <v>0</v>
      </c>
      <c r="J777" s="8" t="s">
        <v>33</v>
      </c>
    </row>
    <row r="778" customFormat="false" ht="15" hidden="false" customHeight="false" outlineLevel="0" collapsed="false">
      <c r="A778" s="8" t="n">
        <v>7328</v>
      </c>
      <c r="B778" s="8" t="n">
        <v>170</v>
      </c>
      <c r="C778" s="8" t="str">
        <f aca="false">IFERROR(INDEX('Project Classifications'!$B$2:$B$231,MATCH(B778,'Project Classifications'!$A$2:$A$231,0)),"")</f>
        <v>Non Task-Specific Training</v>
      </c>
      <c r="D778" s="8" t="s">
        <v>1355</v>
      </c>
      <c r="E778" s="8" t="s">
        <v>600</v>
      </c>
      <c r="F778" s="8" t="s">
        <v>305</v>
      </c>
      <c r="G778" s="8" t="s">
        <v>307</v>
      </c>
      <c r="H778" s="8" t="s">
        <v>306</v>
      </c>
      <c r="I778" s="9" t="n">
        <v>0</v>
      </c>
      <c r="J778" s="8" t="s">
        <v>33</v>
      </c>
    </row>
    <row r="779" customFormat="false" ht="15" hidden="false" customHeight="false" outlineLevel="0" collapsed="false">
      <c r="A779" s="8" t="n">
        <v>7375</v>
      </c>
      <c r="B779" s="8" t="n">
        <v>170</v>
      </c>
      <c r="C779" s="8" t="str">
        <f aca="false">IFERROR(INDEX('Project Classifications'!$B$2:$B$231,MATCH(B779,'Project Classifications'!$A$2:$A$231,0)),"")</f>
        <v>Non Task-Specific Training</v>
      </c>
      <c r="D779" s="8" t="s">
        <v>1356</v>
      </c>
      <c r="E779" s="8" t="s">
        <v>1172</v>
      </c>
      <c r="F779" s="8" t="s">
        <v>48</v>
      </c>
      <c r="G779" s="8" t="s">
        <v>50</v>
      </c>
      <c r="H779" s="8" t="s">
        <v>49</v>
      </c>
      <c r="I779" s="9" t="n">
        <v>0.25</v>
      </c>
      <c r="J779" s="8" t="s">
        <v>33</v>
      </c>
    </row>
    <row r="780" customFormat="false" ht="15" hidden="false" customHeight="false" outlineLevel="0" collapsed="false">
      <c r="A780" s="8" t="n">
        <v>7376</v>
      </c>
      <c r="B780" s="8" t="n">
        <v>170</v>
      </c>
      <c r="C780" s="8" t="str">
        <f aca="false">IFERROR(INDEX('Project Classifications'!$B$2:$B$231,MATCH(B780,'Project Classifications'!$A$2:$A$231,0)),"")</f>
        <v>Non Task-Specific Training</v>
      </c>
      <c r="D780" s="8" t="s">
        <v>1357</v>
      </c>
      <c r="E780" s="8" t="s">
        <v>1172</v>
      </c>
      <c r="F780" s="8" t="s">
        <v>53</v>
      </c>
      <c r="G780" s="8" t="s">
        <v>55</v>
      </c>
      <c r="H780" s="8" t="s">
        <v>56</v>
      </c>
      <c r="I780" s="9" t="n">
        <v>0.142857142857143</v>
      </c>
      <c r="J780" s="8" t="s">
        <v>33</v>
      </c>
    </row>
    <row r="781" customFormat="false" ht="15" hidden="false" customHeight="false" outlineLevel="0" collapsed="false">
      <c r="A781" s="8" t="n">
        <v>7377</v>
      </c>
      <c r="B781" s="8" t="n">
        <v>170</v>
      </c>
      <c r="C781" s="8" t="str">
        <f aca="false">IFERROR(INDEX('Project Classifications'!$B$2:$B$231,MATCH(B781,'Project Classifications'!$A$2:$A$231,0)),"")</f>
        <v>Non Task-Specific Training</v>
      </c>
      <c r="D781" s="8" t="s">
        <v>1358</v>
      </c>
      <c r="E781" s="8" t="s">
        <v>574</v>
      </c>
      <c r="F781" s="8" t="s">
        <v>48</v>
      </c>
      <c r="G781" s="8" t="s">
        <v>50</v>
      </c>
      <c r="H781" s="8" t="s">
        <v>49</v>
      </c>
      <c r="I781" s="9" t="n">
        <v>0.1875</v>
      </c>
      <c r="J781" s="8" t="s">
        <v>33</v>
      </c>
    </row>
    <row r="782" customFormat="false" ht="15" hidden="false" customHeight="false" outlineLevel="0" collapsed="false">
      <c r="A782" s="8" t="n">
        <v>7378</v>
      </c>
      <c r="B782" s="8" t="n">
        <v>171</v>
      </c>
      <c r="C782" s="8" t="str">
        <f aca="false">IFERROR(INDEX('Project Classifications'!$B$2:$B$231,MATCH(B782,'Project Classifications'!$A$2:$A$231,0)),"")</f>
        <v>M2 Fractions Between Elementary Mathematics Task</v>
      </c>
      <c r="D782" s="8" t="s">
        <v>1359</v>
      </c>
      <c r="E782" s="8" t="s">
        <v>600</v>
      </c>
      <c r="F782" s="8" t="s">
        <v>305</v>
      </c>
      <c r="G782" s="8" t="s">
        <v>307</v>
      </c>
      <c r="H782" s="8" t="s">
        <v>306</v>
      </c>
      <c r="I782" s="9" t="n">
        <v>0</v>
      </c>
      <c r="J782" s="8" t="s">
        <v>33</v>
      </c>
    </row>
    <row r="783" customFormat="false" ht="15" hidden="false" customHeight="false" outlineLevel="0" collapsed="false">
      <c r="A783" s="8" t="n">
        <v>7438</v>
      </c>
      <c r="B783" s="8" t="n">
        <v>171</v>
      </c>
      <c r="C783" s="8" t="str">
        <f aca="false">IFERROR(INDEX('Project Classifications'!$B$2:$B$231,MATCH(B783,'Project Classifications'!$A$2:$A$231,0)),"")</f>
        <v>M2 Fractions Between Elementary Mathematics Task</v>
      </c>
      <c r="D783" s="8" t="s">
        <v>1356</v>
      </c>
      <c r="E783" s="8" t="s">
        <v>1172</v>
      </c>
      <c r="F783" s="8" t="s">
        <v>48</v>
      </c>
      <c r="G783" s="8" t="s">
        <v>50</v>
      </c>
      <c r="H783" s="8" t="s">
        <v>49</v>
      </c>
      <c r="I783" s="9" t="n">
        <v>0.25</v>
      </c>
      <c r="J783" s="8" t="s">
        <v>33</v>
      </c>
    </row>
    <row r="784" customFormat="false" ht="15" hidden="false" customHeight="false" outlineLevel="0" collapsed="false">
      <c r="A784" s="8" t="n">
        <v>7439</v>
      </c>
      <c r="B784" s="8" t="n">
        <v>171</v>
      </c>
      <c r="C784" s="8" t="str">
        <f aca="false">IFERROR(INDEX('Project Classifications'!$B$2:$B$231,MATCH(B784,'Project Classifications'!$A$2:$A$231,0)),"")</f>
        <v>M2 Fractions Between Elementary Mathematics Task</v>
      </c>
      <c r="D784" s="8" t="s">
        <v>1357</v>
      </c>
      <c r="E784" s="8" t="s">
        <v>1172</v>
      </c>
      <c r="F784" s="8" t="s">
        <v>53</v>
      </c>
      <c r="G784" s="8" t="s">
        <v>55</v>
      </c>
      <c r="H784" s="8" t="s">
        <v>56</v>
      </c>
      <c r="I784" s="9" t="n">
        <v>0.142857142857143</v>
      </c>
      <c r="J784" s="8" t="s">
        <v>33</v>
      </c>
    </row>
    <row r="785" customFormat="false" ht="15" hidden="false" customHeight="false" outlineLevel="0" collapsed="false">
      <c r="A785" s="8" t="n">
        <v>7440</v>
      </c>
      <c r="B785" s="8" t="n">
        <v>171</v>
      </c>
      <c r="C785" s="8" t="str">
        <f aca="false">IFERROR(INDEX('Project Classifications'!$B$2:$B$231,MATCH(B785,'Project Classifications'!$A$2:$A$231,0)),"")</f>
        <v>M2 Fractions Between Elementary Mathematics Task</v>
      </c>
      <c r="D785" s="8" t="s">
        <v>1360</v>
      </c>
      <c r="E785" s="8" t="s">
        <v>574</v>
      </c>
      <c r="F785" s="8" t="s">
        <v>48</v>
      </c>
      <c r="G785" s="8" t="s">
        <v>50</v>
      </c>
      <c r="H785" s="8" t="s">
        <v>49</v>
      </c>
      <c r="I785" s="9" t="n">
        <v>0.25</v>
      </c>
      <c r="J785" s="8" t="s">
        <v>33</v>
      </c>
    </row>
    <row r="786" customFormat="false" ht="15" hidden="false" customHeight="false" outlineLevel="0" collapsed="false">
      <c r="A786" s="8" t="n">
        <v>7441</v>
      </c>
      <c r="B786" s="8" t="n">
        <v>172</v>
      </c>
      <c r="C786" s="8" t="str">
        <f aca="false">IFERROR(INDEX('Project Classifications'!$B$2:$B$231,MATCH(B786,'Project Classifications'!$A$2:$A$231,0)),"")</f>
        <v>M3 Birdseed Elementary Mathematics Task</v>
      </c>
      <c r="D786" s="8" t="s">
        <v>1361</v>
      </c>
      <c r="E786" s="8" t="s">
        <v>600</v>
      </c>
      <c r="F786" s="8" t="s">
        <v>305</v>
      </c>
      <c r="G786" s="8" t="s">
        <v>307</v>
      </c>
      <c r="H786" s="8" t="s">
        <v>306</v>
      </c>
      <c r="I786" s="9" t="n">
        <v>0</v>
      </c>
      <c r="J786" s="8" t="s">
        <v>33</v>
      </c>
    </row>
    <row r="787" customFormat="false" ht="15" hidden="false" customHeight="false" outlineLevel="0" collapsed="false">
      <c r="A787" s="8" t="n">
        <v>7500</v>
      </c>
      <c r="B787" s="8" t="n">
        <v>172</v>
      </c>
      <c r="C787" s="8" t="str">
        <f aca="false">IFERROR(INDEX('Project Classifications'!$B$2:$B$231,MATCH(B787,'Project Classifications'!$A$2:$A$231,0)),"")</f>
        <v>M3 Birdseed Elementary Mathematics Task</v>
      </c>
      <c r="D787" s="8" t="s">
        <v>1356</v>
      </c>
      <c r="E787" s="8" t="s">
        <v>1172</v>
      </c>
      <c r="F787" s="8" t="s">
        <v>48</v>
      </c>
      <c r="G787" s="8" t="s">
        <v>50</v>
      </c>
      <c r="H787" s="8" t="s">
        <v>49</v>
      </c>
      <c r="I787" s="9" t="n">
        <v>0.25</v>
      </c>
      <c r="J787" s="8" t="s">
        <v>33</v>
      </c>
    </row>
    <row r="788" customFormat="false" ht="15" hidden="false" customHeight="false" outlineLevel="0" collapsed="false">
      <c r="A788" s="8" t="n">
        <v>7501</v>
      </c>
      <c r="B788" s="8" t="n">
        <v>172</v>
      </c>
      <c r="C788" s="8" t="str">
        <f aca="false">IFERROR(INDEX('Project Classifications'!$B$2:$B$231,MATCH(B788,'Project Classifications'!$A$2:$A$231,0)),"")</f>
        <v>M3 Birdseed Elementary Mathematics Task</v>
      </c>
      <c r="D788" s="8" t="s">
        <v>1357</v>
      </c>
      <c r="E788" s="8" t="s">
        <v>1172</v>
      </c>
      <c r="F788" s="8" t="s">
        <v>53</v>
      </c>
      <c r="G788" s="8" t="s">
        <v>55</v>
      </c>
      <c r="H788" s="8" t="s">
        <v>56</v>
      </c>
      <c r="I788" s="9" t="n">
        <v>0.142857142857143</v>
      </c>
      <c r="J788" s="8" t="s">
        <v>33</v>
      </c>
    </row>
    <row r="789" customFormat="false" ht="15" hidden="false" customHeight="false" outlineLevel="0" collapsed="false">
      <c r="A789" s="8" t="n">
        <v>7502</v>
      </c>
      <c r="B789" s="8" t="n">
        <v>172</v>
      </c>
      <c r="C789" s="8" t="str">
        <f aca="false">IFERROR(INDEX('Project Classifications'!$B$2:$B$231,MATCH(B789,'Project Classifications'!$A$2:$A$231,0)),"")</f>
        <v>M3 Birdseed Elementary Mathematics Task</v>
      </c>
      <c r="D789" s="8" t="s">
        <v>1362</v>
      </c>
      <c r="E789" s="8" t="s">
        <v>574</v>
      </c>
      <c r="F789" s="8" t="s">
        <v>48</v>
      </c>
      <c r="G789" s="8" t="s">
        <v>50</v>
      </c>
      <c r="H789" s="8" t="s">
        <v>49</v>
      </c>
      <c r="I789" s="9" t="n">
        <v>0.25</v>
      </c>
      <c r="J789" s="8" t="s">
        <v>33</v>
      </c>
    </row>
    <row r="790" customFormat="false" ht="15" hidden="false" customHeight="false" outlineLevel="0" collapsed="false">
      <c r="A790" s="8" t="n">
        <v>7503</v>
      </c>
      <c r="B790" s="8" t="n">
        <v>173</v>
      </c>
      <c r="C790" s="8" t="str">
        <f aca="false">IFERROR(INDEX('Project Classifications'!$B$2:$B$231,MATCH(B790,'Project Classifications'!$A$2:$A$231,0)),"")</f>
        <v>Data for: Why efforts to promote the rule of law in Afghanistan failed</v>
      </c>
      <c r="D790" s="8" t="s">
        <v>653</v>
      </c>
      <c r="E790" s="8" t="s">
        <v>654</v>
      </c>
      <c r="F790" s="8" t="s">
        <v>53</v>
      </c>
      <c r="G790" s="8" t="s">
        <v>55</v>
      </c>
      <c r="H790" s="8" t="s">
        <v>56</v>
      </c>
      <c r="I790" s="9" t="n">
        <v>0.142857142857143</v>
      </c>
      <c r="J790" s="8" t="s">
        <v>33</v>
      </c>
    </row>
    <row r="791" customFormat="false" ht="15" hidden="false" customHeight="false" outlineLevel="0" collapsed="false">
      <c r="A791" s="8" t="n">
        <v>7504</v>
      </c>
      <c r="B791" s="8" t="n">
        <v>173</v>
      </c>
      <c r="C791" s="8" t="str">
        <f aca="false">IFERROR(INDEX('Project Classifications'!$B$2:$B$231,MATCH(B791,'Project Classifications'!$A$2:$A$231,0)),"")</f>
        <v>Data for: Why efforts to promote the rule of law in Afghanistan failed</v>
      </c>
      <c r="D791" s="8" t="s">
        <v>1363</v>
      </c>
      <c r="E791" s="8" t="s">
        <v>574</v>
      </c>
      <c r="F791" s="8" t="s">
        <v>53</v>
      </c>
      <c r="G791" s="8" t="s">
        <v>55</v>
      </c>
      <c r="H791" s="8" t="s">
        <v>56</v>
      </c>
      <c r="I791" s="9" t="n">
        <v>0.285714285714286</v>
      </c>
      <c r="J791" s="8" t="s">
        <v>33</v>
      </c>
    </row>
    <row r="792" customFormat="false" ht="15" hidden="false" customHeight="false" outlineLevel="0" collapsed="false">
      <c r="A792" s="8" t="n">
        <v>7505</v>
      </c>
      <c r="B792" s="8" t="n">
        <v>173</v>
      </c>
      <c r="C792" s="8" t="str">
        <f aca="false">IFERROR(INDEX('Project Classifications'!$B$2:$B$231,MATCH(B792,'Project Classifications'!$A$2:$A$231,0)),"")</f>
        <v>Data for: Why efforts to promote the rule of law in Afghanistan failed</v>
      </c>
      <c r="D792" s="8" t="s">
        <v>1364</v>
      </c>
      <c r="E792" s="8" t="s">
        <v>562</v>
      </c>
      <c r="F792" s="8" t="s">
        <v>53</v>
      </c>
      <c r="G792" s="8" t="s">
        <v>55</v>
      </c>
      <c r="H792" s="8" t="s">
        <v>56</v>
      </c>
      <c r="I792" s="9" t="n">
        <v>0.142857142857143</v>
      </c>
      <c r="J792" s="8" t="s">
        <v>33</v>
      </c>
    </row>
    <row r="793" customFormat="false" ht="15" hidden="false" customHeight="false" outlineLevel="0" collapsed="false">
      <c r="A793" s="8" t="n">
        <v>7539</v>
      </c>
      <c r="B793" s="8" t="n">
        <v>174</v>
      </c>
      <c r="C793" s="8" t="str">
        <f aca="false">IFERROR(INDEX('Project Classifications'!$B$2:$B$231,MATCH(B793,'Project Classifications'!$A$2:$A$231,0)),"")</f>
        <v>Pedagogical Materials on International Politics and Cold War History</v>
      </c>
      <c r="D793" s="8" t="s">
        <v>1365</v>
      </c>
      <c r="E793" s="8" t="s">
        <v>574</v>
      </c>
      <c r="F793" s="8" t="s">
        <v>53</v>
      </c>
      <c r="G793" s="8" t="s">
        <v>55</v>
      </c>
      <c r="H793" s="8" t="s">
        <v>56</v>
      </c>
      <c r="I793" s="9" t="n">
        <v>0.285714285714286</v>
      </c>
      <c r="J793" s="8" t="s">
        <v>33</v>
      </c>
    </row>
    <row r="794" customFormat="false" ht="15" hidden="false" customHeight="false" outlineLevel="0" collapsed="false">
      <c r="A794" s="8" t="n">
        <v>7620</v>
      </c>
      <c r="B794" s="8" t="n">
        <v>174</v>
      </c>
      <c r="C794" s="8" t="str">
        <f aca="false">IFERROR(INDEX('Project Classifications'!$B$2:$B$231,MATCH(B794,'Project Classifications'!$A$2:$A$231,0)),"")</f>
        <v>Pedagogical Materials on International Politics and Cold War History</v>
      </c>
      <c r="D794" s="8" t="s">
        <v>1366</v>
      </c>
      <c r="E794" s="8" t="s">
        <v>600</v>
      </c>
      <c r="F794" s="8" t="s">
        <v>305</v>
      </c>
      <c r="G794" s="8" t="s">
        <v>307</v>
      </c>
      <c r="H794" s="8" t="s">
        <v>306</v>
      </c>
      <c r="I794" s="9" t="n">
        <v>0</v>
      </c>
      <c r="J794" s="8" t="s">
        <v>33</v>
      </c>
    </row>
    <row r="795" customFormat="false" ht="15" hidden="false" customHeight="false" outlineLevel="0" collapsed="false">
      <c r="A795" s="8" t="n">
        <v>7628</v>
      </c>
      <c r="B795" s="8" t="n">
        <v>175</v>
      </c>
      <c r="C795" s="8" t="str">
        <f aca="false">IFERROR(INDEX('Project Classifications'!$B$2:$B$231,MATCH(B795,'Project Classifications'!$A$2:$A$231,0)),"")</f>
        <v>Data for: Ideational Factors and Civilian Contention in Civil War</v>
      </c>
      <c r="D795" s="8" t="s">
        <v>1367</v>
      </c>
      <c r="E795" s="8" t="s">
        <v>562</v>
      </c>
      <c r="F795" s="8" t="s">
        <v>48</v>
      </c>
      <c r="G795" s="8" t="s">
        <v>50</v>
      </c>
      <c r="H795" s="8" t="s">
        <v>49</v>
      </c>
      <c r="I795" s="9" t="n">
        <v>0.1875</v>
      </c>
      <c r="J795" s="8" t="s">
        <v>33</v>
      </c>
    </row>
    <row r="796" customFormat="false" ht="15" hidden="false" customHeight="false" outlineLevel="0" collapsed="false">
      <c r="A796" s="8" t="n">
        <v>7629</v>
      </c>
      <c r="B796" s="8" t="n">
        <v>175</v>
      </c>
      <c r="C796" s="8" t="str">
        <f aca="false">IFERROR(INDEX('Project Classifications'!$B$2:$B$231,MATCH(B796,'Project Classifications'!$A$2:$A$231,0)),"")</f>
        <v>Data for: Ideational Factors and Civilian Contention in Civil War</v>
      </c>
      <c r="D796" s="8" t="s">
        <v>653</v>
      </c>
      <c r="E796" s="8" t="s">
        <v>654</v>
      </c>
      <c r="F796" s="8" t="s">
        <v>53</v>
      </c>
      <c r="G796" s="8" t="s">
        <v>55</v>
      </c>
      <c r="H796" s="8" t="s">
        <v>56</v>
      </c>
      <c r="I796" s="9" t="n">
        <v>0.142857142857143</v>
      </c>
      <c r="J796" s="8" t="s">
        <v>33</v>
      </c>
    </row>
    <row r="797" customFormat="false" ht="15" hidden="false" customHeight="false" outlineLevel="0" collapsed="false">
      <c r="A797" s="8" t="n">
        <v>7632</v>
      </c>
      <c r="B797" s="8" t="n">
        <v>175</v>
      </c>
      <c r="C797" s="8" t="str">
        <f aca="false">IFERROR(INDEX('Project Classifications'!$B$2:$B$231,MATCH(B797,'Project Classifications'!$A$2:$A$231,0)),"")</f>
        <v>Data for: Ideational Factors and Civilian Contention in Civil War</v>
      </c>
      <c r="D797" s="8" t="s">
        <v>1368</v>
      </c>
      <c r="E797" s="8" t="s">
        <v>574</v>
      </c>
      <c r="F797" s="8" t="s">
        <v>271</v>
      </c>
      <c r="G797" s="8" t="s">
        <v>273</v>
      </c>
      <c r="H797" s="8" t="s">
        <v>274</v>
      </c>
      <c r="I797" s="9" t="n">
        <v>0.5</v>
      </c>
      <c r="J797" s="8" t="s">
        <v>33</v>
      </c>
    </row>
    <row r="798" customFormat="false" ht="15" hidden="false" customHeight="false" outlineLevel="0" collapsed="false">
      <c r="A798" s="8" t="n">
        <v>7633</v>
      </c>
      <c r="B798" s="8" t="n">
        <v>176</v>
      </c>
      <c r="C798" s="8" t="str">
        <f aca="false">IFERROR(INDEX('Project Classifications'!$B$2:$B$231,MATCH(B798,'Project Classifications'!$A$2:$A$231,0)),"")</f>
        <v>M4 Eight Divided by One-Fourth Elementary Mathematics Task</v>
      </c>
      <c r="D798" s="8" t="s">
        <v>1369</v>
      </c>
      <c r="E798" s="8" t="s">
        <v>600</v>
      </c>
      <c r="F798" s="8" t="s">
        <v>305</v>
      </c>
      <c r="G798" s="8" t="s">
        <v>307</v>
      </c>
      <c r="H798" s="8" t="s">
        <v>306</v>
      </c>
      <c r="I798" s="9" t="n">
        <v>0</v>
      </c>
      <c r="J798" s="8" t="s">
        <v>33</v>
      </c>
    </row>
    <row r="799" customFormat="false" ht="15" hidden="false" customHeight="false" outlineLevel="0" collapsed="false">
      <c r="A799" s="8" t="n">
        <v>7691</v>
      </c>
      <c r="B799" s="8" t="n">
        <v>176</v>
      </c>
      <c r="C799" s="8" t="str">
        <f aca="false">IFERROR(INDEX('Project Classifications'!$B$2:$B$231,MATCH(B799,'Project Classifications'!$A$2:$A$231,0)),"")</f>
        <v>M4 Eight Divided by One-Fourth Elementary Mathematics Task</v>
      </c>
      <c r="D799" s="8" t="s">
        <v>1356</v>
      </c>
      <c r="E799" s="8" t="s">
        <v>1172</v>
      </c>
      <c r="F799" s="8" t="s">
        <v>48</v>
      </c>
      <c r="G799" s="8" t="s">
        <v>50</v>
      </c>
      <c r="H799" s="8" t="s">
        <v>49</v>
      </c>
      <c r="I799" s="9" t="n">
        <v>0.25</v>
      </c>
      <c r="J799" s="8" t="s">
        <v>33</v>
      </c>
    </row>
    <row r="800" customFormat="false" ht="15" hidden="false" customHeight="false" outlineLevel="0" collapsed="false">
      <c r="A800" s="8" t="n">
        <v>7692</v>
      </c>
      <c r="B800" s="8" t="n">
        <v>176</v>
      </c>
      <c r="C800" s="8" t="str">
        <f aca="false">IFERROR(INDEX('Project Classifications'!$B$2:$B$231,MATCH(B800,'Project Classifications'!$A$2:$A$231,0)),"")</f>
        <v>M4 Eight Divided by One-Fourth Elementary Mathematics Task</v>
      </c>
      <c r="D800" s="8" t="s">
        <v>1357</v>
      </c>
      <c r="E800" s="8" t="s">
        <v>1172</v>
      </c>
      <c r="F800" s="8" t="s">
        <v>53</v>
      </c>
      <c r="G800" s="8" t="s">
        <v>55</v>
      </c>
      <c r="H800" s="8" t="s">
        <v>56</v>
      </c>
      <c r="I800" s="9" t="n">
        <v>0.142857142857143</v>
      </c>
      <c r="J800" s="8" t="s">
        <v>33</v>
      </c>
    </row>
    <row r="801" customFormat="false" ht="15" hidden="false" customHeight="false" outlineLevel="0" collapsed="false">
      <c r="A801" s="8" t="n">
        <v>7693</v>
      </c>
      <c r="B801" s="8" t="n">
        <v>176</v>
      </c>
      <c r="C801" s="8" t="str">
        <f aca="false">IFERROR(INDEX('Project Classifications'!$B$2:$B$231,MATCH(B801,'Project Classifications'!$A$2:$A$231,0)),"")</f>
        <v>M4 Eight Divided by One-Fourth Elementary Mathematics Task</v>
      </c>
      <c r="D801" s="8" t="s">
        <v>1370</v>
      </c>
      <c r="E801" s="8" t="s">
        <v>574</v>
      </c>
      <c r="F801" s="8" t="s">
        <v>48</v>
      </c>
      <c r="G801" s="8" t="s">
        <v>50</v>
      </c>
      <c r="H801" s="8" t="s">
        <v>49</v>
      </c>
      <c r="I801" s="9" t="n">
        <v>0.25</v>
      </c>
      <c r="J801" s="8" t="s">
        <v>33</v>
      </c>
    </row>
    <row r="802" customFormat="false" ht="15" hidden="false" customHeight="false" outlineLevel="0" collapsed="false">
      <c r="A802" s="8" t="n">
        <v>7694</v>
      </c>
      <c r="B802" s="8" t="n">
        <v>177</v>
      </c>
      <c r="C802" s="8" t="str">
        <f aca="false">IFERROR(INDEX('Project Classifications'!$B$2:$B$231,MATCH(B802,'Project Classifications'!$A$2:$A$231,0)),"")</f>
        <v>S4 Changing Matter Elementary Science Task</v>
      </c>
      <c r="D802" s="8" t="s">
        <v>1371</v>
      </c>
      <c r="E802" s="8" t="s">
        <v>600</v>
      </c>
      <c r="F802" s="8" t="s">
        <v>305</v>
      </c>
      <c r="G802" s="8" t="s">
        <v>307</v>
      </c>
      <c r="H802" s="8" t="s">
        <v>306</v>
      </c>
      <c r="I802" s="9" t="n">
        <v>0</v>
      </c>
      <c r="J802" s="8" t="s">
        <v>33</v>
      </c>
    </row>
    <row r="803" customFormat="false" ht="15" hidden="false" customHeight="false" outlineLevel="0" collapsed="false">
      <c r="A803" s="8" t="n">
        <v>7752</v>
      </c>
      <c r="B803" s="8" t="n">
        <v>177</v>
      </c>
      <c r="C803" s="8" t="str">
        <f aca="false">IFERROR(INDEX('Project Classifications'!$B$2:$B$231,MATCH(B803,'Project Classifications'!$A$2:$A$231,0)),"")</f>
        <v>S4 Changing Matter Elementary Science Task</v>
      </c>
      <c r="D803" s="8" t="s">
        <v>1356</v>
      </c>
      <c r="E803" s="8" t="s">
        <v>1172</v>
      </c>
      <c r="F803" s="8" t="s">
        <v>48</v>
      </c>
      <c r="G803" s="8" t="s">
        <v>50</v>
      </c>
      <c r="H803" s="8" t="s">
        <v>49</v>
      </c>
      <c r="I803" s="9" t="n">
        <v>0.25</v>
      </c>
      <c r="J803" s="8" t="s">
        <v>33</v>
      </c>
    </row>
    <row r="804" customFormat="false" ht="15" hidden="false" customHeight="false" outlineLevel="0" collapsed="false">
      <c r="A804" s="8" t="n">
        <v>7753</v>
      </c>
      <c r="B804" s="8" t="n">
        <v>177</v>
      </c>
      <c r="C804" s="8" t="str">
        <f aca="false">IFERROR(INDEX('Project Classifications'!$B$2:$B$231,MATCH(B804,'Project Classifications'!$A$2:$A$231,0)),"")</f>
        <v>S4 Changing Matter Elementary Science Task</v>
      </c>
      <c r="D804" s="8" t="s">
        <v>1357</v>
      </c>
      <c r="E804" s="8" t="s">
        <v>1172</v>
      </c>
      <c r="F804" s="8" t="s">
        <v>53</v>
      </c>
      <c r="G804" s="8" t="s">
        <v>55</v>
      </c>
      <c r="H804" s="8" t="s">
        <v>56</v>
      </c>
      <c r="I804" s="9" t="n">
        <v>0.142857142857143</v>
      </c>
      <c r="J804" s="8" t="s">
        <v>33</v>
      </c>
    </row>
    <row r="805" customFormat="false" ht="15" hidden="false" customHeight="false" outlineLevel="0" collapsed="false">
      <c r="A805" s="8" t="n">
        <v>7754</v>
      </c>
      <c r="B805" s="8" t="n">
        <v>177</v>
      </c>
      <c r="C805" s="8" t="str">
        <f aca="false">IFERROR(INDEX('Project Classifications'!$B$2:$B$231,MATCH(B805,'Project Classifications'!$A$2:$A$231,0)),"")</f>
        <v>S4 Changing Matter Elementary Science Task</v>
      </c>
      <c r="D805" s="8" t="s">
        <v>1372</v>
      </c>
      <c r="E805" s="8" t="s">
        <v>574</v>
      </c>
      <c r="F805" s="8" t="s">
        <v>48</v>
      </c>
      <c r="G805" s="8" t="s">
        <v>50</v>
      </c>
      <c r="H805" s="8" t="s">
        <v>49</v>
      </c>
      <c r="I805" s="9" t="n">
        <v>0.25</v>
      </c>
      <c r="J805" s="8" t="s">
        <v>33</v>
      </c>
    </row>
    <row r="806" customFormat="false" ht="15" hidden="false" customHeight="false" outlineLevel="0" collapsed="false">
      <c r="A806" s="8" t="n">
        <v>7755</v>
      </c>
      <c r="B806" s="8" t="n">
        <v>178</v>
      </c>
      <c r="C806" s="8" t="str">
        <f aca="false">IFERROR(INDEX('Project Classifications'!$B$2:$B$231,MATCH(B806,'Project Classifications'!$A$2:$A$231,0)),"")</f>
        <v>S3 Modeling Matter Elementary Science Task</v>
      </c>
      <c r="D806" s="8" t="s">
        <v>1373</v>
      </c>
      <c r="E806" s="8" t="s">
        <v>600</v>
      </c>
      <c r="F806" s="8" t="s">
        <v>305</v>
      </c>
      <c r="G806" s="8" t="s">
        <v>307</v>
      </c>
      <c r="H806" s="8" t="s">
        <v>306</v>
      </c>
      <c r="I806" s="9" t="n">
        <v>0</v>
      </c>
      <c r="J806" s="8" t="s">
        <v>33</v>
      </c>
    </row>
    <row r="807" customFormat="false" ht="15" hidden="false" customHeight="false" outlineLevel="0" collapsed="false">
      <c r="A807" s="8" t="n">
        <v>7809</v>
      </c>
      <c r="B807" s="8" t="n">
        <v>178</v>
      </c>
      <c r="C807" s="8" t="str">
        <f aca="false">IFERROR(INDEX('Project Classifications'!$B$2:$B$231,MATCH(B807,'Project Classifications'!$A$2:$A$231,0)),"")</f>
        <v>S3 Modeling Matter Elementary Science Task</v>
      </c>
      <c r="D807" s="8" t="s">
        <v>1356</v>
      </c>
      <c r="E807" s="8" t="s">
        <v>1172</v>
      </c>
      <c r="F807" s="8" t="s">
        <v>48</v>
      </c>
      <c r="G807" s="8" t="s">
        <v>50</v>
      </c>
      <c r="H807" s="8" t="s">
        <v>49</v>
      </c>
      <c r="I807" s="9" t="n">
        <v>0.25</v>
      </c>
      <c r="J807" s="8" t="s">
        <v>33</v>
      </c>
    </row>
    <row r="808" customFormat="false" ht="15" hidden="false" customHeight="false" outlineLevel="0" collapsed="false">
      <c r="A808" s="8" t="n">
        <v>7810</v>
      </c>
      <c r="B808" s="8" t="n">
        <v>178</v>
      </c>
      <c r="C808" s="8" t="str">
        <f aca="false">IFERROR(INDEX('Project Classifications'!$B$2:$B$231,MATCH(B808,'Project Classifications'!$A$2:$A$231,0)),"")</f>
        <v>S3 Modeling Matter Elementary Science Task</v>
      </c>
      <c r="D808" s="8" t="s">
        <v>1357</v>
      </c>
      <c r="E808" s="8" t="s">
        <v>1172</v>
      </c>
      <c r="F808" s="8" t="s">
        <v>53</v>
      </c>
      <c r="G808" s="8" t="s">
        <v>55</v>
      </c>
      <c r="H808" s="8" t="s">
        <v>56</v>
      </c>
      <c r="I808" s="9" t="n">
        <v>0.142857142857143</v>
      </c>
      <c r="J808" s="8" t="s">
        <v>33</v>
      </c>
    </row>
    <row r="809" customFormat="false" ht="15" hidden="false" customHeight="false" outlineLevel="0" collapsed="false">
      <c r="A809" s="8" t="n">
        <v>7811</v>
      </c>
      <c r="B809" s="8" t="n">
        <v>178</v>
      </c>
      <c r="C809" s="8" t="str">
        <f aca="false">IFERROR(INDEX('Project Classifications'!$B$2:$B$231,MATCH(B809,'Project Classifications'!$A$2:$A$231,0)),"")</f>
        <v>S3 Modeling Matter Elementary Science Task</v>
      </c>
      <c r="D809" s="8" t="s">
        <v>1374</v>
      </c>
      <c r="E809" s="8" t="s">
        <v>574</v>
      </c>
      <c r="F809" s="8" t="s">
        <v>48</v>
      </c>
      <c r="G809" s="8" t="s">
        <v>50</v>
      </c>
      <c r="H809" s="8" t="s">
        <v>49</v>
      </c>
      <c r="I809" s="9" t="n">
        <v>0.25</v>
      </c>
      <c r="J809" s="8" t="s">
        <v>33</v>
      </c>
    </row>
    <row r="810" customFormat="false" ht="15" hidden="false" customHeight="false" outlineLevel="0" collapsed="false">
      <c r="A810" s="8" t="n">
        <v>7812</v>
      </c>
      <c r="B810" s="8" t="n">
        <v>179</v>
      </c>
      <c r="C810" s="8" t="str">
        <f aca="false">IFERROR(INDEX('Project Classifications'!$B$2:$B$231,MATCH(B810,'Project Classifications'!$A$2:$A$231,0)),"")</f>
        <v>S2 Conservation of Matter Elementary Science Task</v>
      </c>
      <c r="D810" s="8" t="s">
        <v>1375</v>
      </c>
      <c r="E810" s="8" t="s">
        <v>600</v>
      </c>
      <c r="F810" s="8" t="s">
        <v>305</v>
      </c>
      <c r="G810" s="8" t="s">
        <v>307</v>
      </c>
      <c r="H810" s="8" t="s">
        <v>306</v>
      </c>
      <c r="I810" s="9" t="n">
        <v>0</v>
      </c>
      <c r="J810" s="8" t="s">
        <v>33</v>
      </c>
    </row>
    <row r="811" customFormat="false" ht="15" hidden="false" customHeight="false" outlineLevel="0" collapsed="false">
      <c r="A811" s="8" t="n">
        <v>7869</v>
      </c>
      <c r="B811" s="8" t="n">
        <v>179</v>
      </c>
      <c r="C811" s="8" t="str">
        <f aca="false">IFERROR(INDEX('Project Classifications'!$B$2:$B$231,MATCH(B811,'Project Classifications'!$A$2:$A$231,0)),"")</f>
        <v>S2 Conservation of Matter Elementary Science Task</v>
      </c>
      <c r="D811" s="8" t="s">
        <v>1356</v>
      </c>
      <c r="E811" s="8" t="s">
        <v>1172</v>
      </c>
      <c r="F811" s="8" t="s">
        <v>48</v>
      </c>
      <c r="G811" s="8" t="s">
        <v>50</v>
      </c>
      <c r="H811" s="8" t="s">
        <v>49</v>
      </c>
      <c r="I811" s="9" t="n">
        <v>0.25</v>
      </c>
      <c r="J811" s="8" t="s">
        <v>33</v>
      </c>
    </row>
    <row r="812" customFormat="false" ht="15" hidden="false" customHeight="false" outlineLevel="0" collapsed="false">
      <c r="A812" s="8" t="n">
        <v>7870</v>
      </c>
      <c r="B812" s="8" t="n">
        <v>179</v>
      </c>
      <c r="C812" s="8" t="str">
        <f aca="false">IFERROR(INDEX('Project Classifications'!$B$2:$B$231,MATCH(B812,'Project Classifications'!$A$2:$A$231,0)),"")</f>
        <v>S2 Conservation of Matter Elementary Science Task</v>
      </c>
      <c r="D812" s="8" t="s">
        <v>1357</v>
      </c>
      <c r="E812" s="8" t="s">
        <v>1172</v>
      </c>
      <c r="F812" s="8" t="s">
        <v>53</v>
      </c>
      <c r="G812" s="8" t="s">
        <v>55</v>
      </c>
      <c r="H812" s="8" t="s">
        <v>56</v>
      </c>
      <c r="I812" s="9" t="n">
        <v>0.142857142857143</v>
      </c>
      <c r="J812" s="8" t="s">
        <v>33</v>
      </c>
    </row>
    <row r="813" customFormat="false" ht="15" hidden="false" customHeight="false" outlineLevel="0" collapsed="false">
      <c r="A813" s="8" t="n">
        <v>7871</v>
      </c>
      <c r="B813" s="8" t="n">
        <v>179</v>
      </c>
      <c r="C813" s="8" t="str">
        <f aca="false">IFERROR(INDEX('Project Classifications'!$B$2:$B$231,MATCH(B813,'Project Classifications'!$A$2:$A$231,0)),"")</f>
        <v>S2 Conservation of Matter Elementary Science Task</v>
      </c>
      <c r="D813" s="8" t="s">
        <v>1376</v>
      </c>
      <c r="E813" s="8" t="s">
        <v>574</v>
      </c>
      <c r="F813" s="8" t="s">
        <v>48</v>
      </c>
      <c r="G813" s="8" t="s">
        <v>50</v>
      </c>
      <c r="H813" s="8" t="s">
        <v>49</v>
      </c>
      <c r="I813" s="9" t="n">
        <v>0.25</v>
      </c>
      <c r="J813" s="8" t="s">
        <v>33</v>
      </c>
    </row>
    <row r="814" customFormat="false" ht="15" hidden="false" customHeight="false" outlineLevel="0" collapsed="false">
      <c r="A814" s="8" t="n">
        <v>7875</v>
      </c>
      <c r="B814" s="8" t="n">
        <v>180</v>
      </c>
      <c r="C814" s="8" t="str">
        <f aca="false">IFERROR(INDEX('Project Classifications'!$B$2:$B$231,MATCH(B814,'Project Classifications'!$A$2:$A$231,0)),"")</f>
        <v>Consumer Subsidies in Post-crisis Argentina</v>
      </c>
      <c r="D814" s="8" t="s">
        <v>1377</v>
      </c>
      <c r="E814" s="8" t="s">
        <v>562</v>
      </c>
      <c r="F814" s="8" t="s">
        <v>445</v>
      </c>
      <c r="G814" s="8" t="s">
        <v>447</v>
      </c>
      <c r="H814" s="8" t="s">
        <v>448</v>
      </c>
      <c r="I814" s="9" t="n">
        <v>0.25</v>
      </c>
      <c r="J814" s="8" t="s">
        <v>33</v>
      </c>
    </row>
    <row r="815" customFormat="false" ht="15" hidden="false" customHeight="false" outlineLevel="0" collapsed="false">
      <c r="A815" s="8" t="n">
        <v>7883</v>
      </c>
      <c r="B815" s="8" t="n">
        <v>180</v>
      </c>
      <c r="C815" s="8" t="str">
        <f aca="false">IFERROR(INDEX('Project Classifications'!$B$2:$B$231,MATCH(B815,'Project Classifications'!$A$2:$A$231,0)),"")</f>
        <v>Consumer Subsidies in Post-crisis Argentina</v>
      </c>
      <c r="D815" s="8" t="s">
        <v>1378</v>
      </c>
      <c r="E815" s="8" t="s">
        <v>562</v>
      </c>
      <c r="F815" s="8" t="s">
        <v>445</v>
      </c>
      <c r="G815" s="8" t="s">
        <v>447</v>
      </c>
      <c r="H815" s="8" t="s">
        <v>448</v>
      </c>
      <c r="I815" s="9" t="n">
        <v>0.25</v>
      </c>
      <c r="J815" s="8" t="s">
        <v>33</v>
      </c>
    </row>
    <row r="816" customFormat="false" ht="15" hidden="false" customHeight="false" outlineLevel="0" collapsed="false">
      <c r="A816" s="8" t="n">
        <v>7885</v>
      </c>
      <c r="B816" s="8" t="n">
        <v>180</v>
      </c>
      <c r="C816" s="8" t="str">
        <f aca="false">IFERROR(INDEX('Project Classifications'!$B$2:$B$231,MATCH(B816,'Project Classifications'!$A$2:$A$231,0)),"")</f>
        <v>Consumer Subsidies in Post-crisis Argentina</v>
      </c>
      <c r="D816" s="8" t="s">
        <v>1379</v>
      </c>
      <c r="E816" s="8" t="s">
        <v>562</v>
      </c>
      <c r="F816" s="8" t="s">
        <v>445</v>
      </c>
      <c r="G816" s="8" t="s">
        <v>447</v>
      </c>
      <c r="H816" s="8" t="s">
        <v>448</v>
      </c>
      <c r="I816" s="9" t="n">
        <v>0.25</v>
      </c>
      <c r="J816" s="8" t="s">
        <v>33</v>
      </c>
    </row>
    <row r="817" customFormat="false" ht="15" hidden="false" customHeight="false" outlineLevel="0" collapsed="false">
      <c r="A817" s="8" t="n">
        <v>7887</v>
      </c>
      <c r="B817" s="8" t="n">
        <v>180</v>
      </c>
      <c r="C817" s="8" t="str">
        <f aca="false">IFERROR(INDEX('Project Classifications'!$B$2:$B$231,MATCH(B817,'Project Classifications'!$A$2:$A$231,0)),"")</f>
        <v>Consumer Subsidies in Post-crisis Argentina</v>
      </c>
      <c r="D817" s="8" t="s">
        <v>1380</v>
      </c>
      <c r="E817" s="8" t="s">
        <v>562</v>
      </c>
      <c r="F817" s="8" t="s">
        <v>48</v>
      </c>
      <c r="G817" s="8" t="s">
        <v>50</v>
      </c>
      <c r="H817" s="8" t="s">
        <v>49</v>
      </c>
      <c r="I817" s="9" t="n">
        <v>0.125</v>
      </c>
      <c r="J817" s="8" t="s">
        <v>33</v>
      </c>
    </row>
    <row r="818" customFormat="false" ht="15" hidden="false" customHeight="false" outlineLevel="0" collapsed="false">
      <c r="A818" s="8" t="n">
        <v>7888</v>
      </c>
      <c r="B818" s="8" t="n">
        <v>180</v>
      </c>
      <c r="C818" s="8" t="str">
        <f aca="false">IFERROR(INDEX('Project Classifications'!$B$2:$B$231,MATCH(B818,'Project Classifications'!$A$2:$A$231,0)),"")</f>
        <v>Consumer Subsidies in Post-crisis Argentina</v>
      </c>
      <c r="D818" s="8" t="s">
        <v>1381</v>
      </c>
      <c r="E818" s="8" t="s">
        <v>562</v>
      </c>
      <c r="F818" s="8" t="s">
        <v>445</v>
      </c>
      <c r="G818" s="8" t="s">
        <v>447</v>
      </c>
      <c r="H818" s="8" t="s">
        <v>448</v>
      </c>
      <c r="I818" s="9" t="n">
        <v>0.25</v>
      </c>
      <c r="J818" s="8" t="s">
        <v>33</v>
      </c>
    </row>
    <row r="819" customFormat="false" ht="15" hidden="false" customHeight="false" outlineLevel="0" collapsed="false">
      <c r="A819" s="8" t="n">
        <v>7890</v>
      </c>
      <c r="B819" s="8" t="n">
        <v>180</v>
      </c>
      <c r="C819" s="8" t="str">
        <f aca="false">IFERROR(INDEX('Project Classifications'!$B$2:$B$231,MATCH(B819,'Project Classifications'!$A$2:$A$231,0)),"")</f>
        <v>Consumer Subsidies in Post-crisis Argentina</v>
      </c>
      <c r="D819" s="8" t="s">
        <v>1382</v>
      </c>
      <c r="E819" s="8" t="s">
        <v>562</v>
      </c>
      <c r="F819" s="8" t="s">
        <v>53</v>
      </c>
      <c r="G819" s="8" t="s">
        <v>55</v>
      </c>
      <c r="H819" s="8" t="s">
        <v>56</v>
      </c>
      <c r="I819" s="9" t="n">
        <v>0.142857142857143</v>
      </c>
      <c r="J819" s="8" t="s">
        <v>33</v>
      </c>
    </row>
    <row r="820" customFormat="false" ht="15" hidden="false" customHeight="false" outlineLevel="0" collapsed="false">
      <c r="A820" s="8" t="n">
        <v>7891</v>
      </c>
      <c r="B820" s="8" t="n">
        <v>180</v>
      </c>
      <c r="C820" s="8" t="str">
        <f aca="false">IFERROR(INDEX('Project Classifications'!$B$2:$B$231,MATCH(B820,'Project Classifications'!$A$2:$A$231,0)),"")</f>
        <v>Consumer Subsidies in Post-crisis Argentina</v>
      </c>
      <c r="D820" s="8" t="s">
        <v>1383</v>
      </c>
      <c r="E820" s="8" t="s">
        <v>562</v>
      </c>
      <c r="F820" s="8" t="s">
        <v>53</v>
      </c>
      <c r="G820" s="8" t="s">
        <v>55</v>
      </c>
      <c r="H820" s="8" t="s">
        <v>56</v>
      </c>
      <c r="I820" s="9" t="n">
        <v>0.142857142857143</v>
      </c>
      <c r="J820" s="8" t="s">
        <v>33</v>
      </c>
    </row>
    <row r="821" customFormat="false" ht="15" hidden="false" customHeight="false" outlineLevel="0" collapsed="false">
      <c r="A821" s="8" t="n">
        <v>7892</v>
      </c>
      <c r="B821" s="8" t="n">
        <v>180</v>
      </c>
      <c r="C821" s="8" t="str">
        <f aca="false">IFERROR(INDEX('Project Classifications'!$B$2:$B$231,MATCH(B821,'Project Classifications'!$A$2:$A$231,0)),"")</f>
        <v>Consumer Subsidies in Post-crisis Argentina</v>
      </c>
      <c r="D821" s="8" t="s">
        <v>1384</v>
      </c>
      <c r="E821" s="8" t="s">
        <v>574</v>
      </c>
      <c r="F821" s="8" t="s">
        <v>445</v>
      </c>
      <c r="G821" s="8" t="s">
        <v>447</v>
      </c>
      <c r="H821" s="8" t="s">
        <v>448</v>
      </c>
      <c r="I821" s="9" t="n">
        <v>0.25</v>
      </c>
      <c r="J821" s="8" t="s">
        <v>33</v>
      </c>
    </row>
    <row r="822" customFormat="false" ht="15" hidden="false" customHeight="false" outlineLevel="0" collapsed="false">
      <c r="A822" s="8" t="n">
        <v>7893</v>
      </c>
      <c r="B822" s="8" t="n">
        <v>181</v>
      </c>
      <c r="C822" s="8" t="str">
        <f aca="false">IFERROR(INDEX('Project Classifications'!$B$2:$B$231,MATCH(B822,'Project Classifications'!$A$2:$A$231,0)),"")</f>
        <v>Data for: The Last Mile Problem: Activists, Advocates and the Struggle for Justice in Domestic Courts</v>
      </c>
      <c r="D822" s="8" t="s">
        <v>1385</v>
      </c>
      <c r="E822" s="8" t="s">
        <v>574</v>
      </c>
      <c r="F822" s="8" t="s">
        <v>53</v>
      </c>
      <c r="G822" s="8" t="s">
        <v>55</v>
      </c>
      <c r="H822" s="8" t="s">
        <v>56</v>
      </c>
      <c r="I822" s="9" t="n">
        <v>0.142857142857143</v>
      </c>
      <c r="J822" s="8" t="s">
        <v>33</v>
      </c>
    </row>
    <row r="823" customFormat="false" ht="15" hidden="false" customHeight="false" outlineLevel="0" collapsed="false">
      <c r="A823" s="8" t="n">
        <v>7894</v>
      </c>
      <c r="B823" s="8" t="n">
        <v>181</v>
      </c>
      <c r="C823" s="8" t="str">
        <f aca="false">IFERROR(INDEX('Project Classifications'!$B$2:$B$231,MATCH(B823,'Project Classifications'!$A$2:$A$231,0)),"")</f>
        <v>Data for: The Last Mile Problem: Activists, Advocates and the Struggle for Justice in Domestic Courts</v>
      </c>
      <c r="D823" s="8" t="s">
        <v>1386</v>
      </c>
      <c r="E823" s="8" t="s">
        <v>562</v>
      </c>
      <c r="F823" s="8" t="s">
        <v>473</v>
      </c>
      <c r="G823" s="8" t="s">
        <v>475</v>
      </c>
      <c r="H823" s="8" t="s">
        <v>476</v>
      </c>
      <c r="I823" s="9" t="n">
        <v>0.142857142857143</v>
      </c>
      <c r="J823" s="8" t="s">
        <v>33</v>
      </c>
    </row>
    <row r="824" customFormat="false" ht="15" hidden="false" customHeight="false" outlineLevel="0" collapsed="false">
      <c r="A824" s="8" t="n">
        <v>7899</v>
      </c>
      <c r="B824" s="8" t="n">
        <v>181</v>
      </c>
      <c r="C824" s="8" t="str">
        <f aca="false">IFERROR(INDEX('Project Classifications'!$B$2:$B$231,MATCH(B824,'Project Classifications'!$A$2:$A$231,0)),"")</f>
        <v>Data for: The Last Mile Problem: Activists, Advocates and the Struggle for Justice in Domestic Courts</v>
      </c>
      <c r="D824" s="8" t="s">
        <v>1387</v>
      </c>
      <c r="E824" s="8" t="s">
        <v>562</v>
      </c>
      <c r="F824" s="8" t="s">
        <v>305</v>
      </c>
      <c r="G824" s="8" t="s">
        <v>307</v>
      </c>
      <c r="H824" s="8" t="s">
        <v>306</v>
      </c>
      <c r="I824" s="9" t="n">
        <v>0</v>
      </c>
      <c r="J824" s="8" t="s">
        <v>33</v>
      </c>
    </row>
    <row r="825" customFormat="false" ht="15" hidden="false" customHeight="false" outlineLevel="0" collapsed="false">
      <c r="A825" s="8" t="n">
        <v>11180</v>
      </c>
      <c r="B825" s="8" t="n">
        <v>183</v>
      </c>
      <c r="C825" s="8" t="str">
        <f aca="false">IFERROR(INDEX('Project Classifications'!$B$2:$B$231,MATCH(B825,'Project Classifications'!$A$2:$A$231,0)),"")</f>
        <v>Data for: Online Dating Experiences of LGBTQ+ Emerging Adults with Disabilities</v>
      </c>
      <c r="D825" s="8" t="s">
        <v>1388</v>
      </c>
      <c r="E825" s="8" t="s">
        <v>562</v>
      </c>
      <c r="F825" s="8" t="s">
        <v>48</v>
      </c>
      <c r="G825" s="8" t="s">
        <v>50</v>
      </c>
      <c r="H825" s="8" t="s">
        <v>49</v>
      </c>
      <c r="I825" s="9" t="n">
        <v>0.125</v>
      </c>
      <c r="J825" s="8" t="s">
        <v>33</v>
      </c>
    </row>
    <row r="826" customFormat="false" ht="15" hidden="false" customHeight="false" outlineLevel="0" collapsed="false">
      <c r="A826" s="8" t="n">
        <v>11182</v>
      </c>
      <c r="B826" s="8" t="n">
        <v>183</v>
      </c>
      <c r="C826" s="8" t="str">
        <f aca="false">IFERROR(INDEX('Project Classifications'!$B$2:$B$231,MATCH(B826,'Project Classifications'!$A$2:$A$231,0)),"")</f>
        <v>Data for: Online Dating Experiences of LGBTQ+ Emerging Adults with Disabilities</v>
      </c>
      <c r="D826" s="8" t="s">
        <v>1389</v>
      </c>
      <c r="E826" s="8" t="s">
        <v>574</v>
      </c>
      <c r="F826" s="8" t="s">
        <v>53</v>
      </c>
      <c r="G826" s="8" t="s">
        <v>55</v>
      </c>
      <c r="H826" s="8" t="s">
        <v>56</v>
      </c>
      <c r="I826" s="9" t="n">
        <v>0.285714285714286</v>
      </c>
      <c r="J826" s="8" t="s">
        <v>33</v>
      </c>
    </row>
    <row r="827" customFormat="false" ht="15" hidden="false" customHeight="false" outlineLevel="0" collapsed="false">
      <c r="A827" s="8" t="n">
        <v>12121</v>
      </c>
      <c r="B827" s="8" t="n">
        <v>184</v>
      </c>
      <c r="C827" s="8" t="str">
        <f aca="false">IFERROR(INDEX('Project Classifications'!$B$2:$B$231,MATCH(B827,'Project Classifications'!$A$2:$A$231,0)),"")</f>
        <v>Data for: Exposure to trade and postcolonial divergence on the island of Hispaniola</v>
      </c>
      <c r="D827" s="8" t="s">
        <v>1390</v>
      </c>
      <c r="E827" s="8" t="s">
        <v>600</v>
      </c>
      <c r="F827" s="8" t="s">
        <v>305</v>
      </c>
      <c r="G827" s="8" t="s">
        <v>307</v>
      </c>
      <c r="H827" s="8" t="s">
        <v>306</v>
      </c>
      <c r="I827" s="9" t="n">
        <v>0</v>
      </c>
      <c r="J827" s="8" t="s">
        <v>33</v>
      </c>
    </row>
    <row r="828" customFormat="false" ht="15" hidden="false" customHeight="false" outlineLevel="0" collapsed="false">
      <c r="A828" s="8" t="n">
        <v>12122</v>
      </c>
      <c r="B828" s="8" t="n">
        <v>184</v>
      </c>
      <c r="C828" s="8" t="str">
        <f aca="false">IFERROR(INDEX('Project Classifications'!$B$2:$B$231,MATCH(B828,'Project Classifications'!$A$2:$A$231,0)),"")</f>
        <v>Data for: Exposure to trade and postcolonial divergence on the island of Hispaniola</v>
      </c>
      <c r="D828" s="8" t="s">
        <v>1391</v>
      </c>
      <c r="E828" s="8" t="s">
        <v>574</v>
      </c>
      <c r="F828" s="8" t="s">
        <v>53</v>
      </c>
      <c r="G828" s="8" t="s">
        <v>55</v>
      </c>
      <c r="H828" s="8" t="s">
        <v>56</v>
      </c>
      <c r="I828" s="9" t="n">
        <v>0.142857142857143</v>
      </c>
      <c r="J828" s="8" t="s">
        <v>33</v>
      </c>
    </row>
    <row r="829" customFormat="false" ht="15" hidden="false" customHeight="false" outlineLevel="0" collapsed="false">
      <c r="A829" s="8" t="n">
        <v>12123</v>
      </c>
      <c r="B829" s="8" t="n">
        <v>185</v>
      </c>
      <c r="C829" s="8" t="str">
        <f aca="false">IFERROR(INDEX('Project Classifications'!$B$2:$B$231,MATCH(B829,'Project Classifications'!$A$2:$A$231,0)),"")</f>
        <v>M1 Ordering Fractions Elementary Mathematics Task</v>
      </c>
      <c r="D829" s="8" t="s">
        <v>1392</v>
      </c>
      <c r="E829" s="8" t="s">
        <v>600</v>
      </c>
      <c r="F829" s="8" t="s">
        <v>305</v>
      </c>
      <c r="G829" s="8" t="s">
        <v>307</v>
      </c>
      <c r="H829" s="8" t="s">
        <v>306</v>
      </c>
      <c r="I829" s="9" t="n">
        <v>0</v>
      </c>
      <c r="J829" s="8" t="s">
        <v>33</v>
      </c>
    </row>
    <row r="830" customFormat="false" ht="15" hidden="false" customHeight="false" outlineLevel="0" collapsed="false">
      <c r="A830" s="8" t="n">
        <v>12183</v>
      </c>
      <c r="B830" s="8" t="n">
        <v>185</v>
      </c>
      <c r="C830" s="8" t="str">
        <f aca="false">IFERROR(INDEX('Project Classifications'!$B$2:$B$231,MATCH(B830,'Project Classifications'!$A$2:$A$231,0)),"")</f>
        <v>M1 Ordering Fractions Elementary Mathematics Task</v>
      </c>
      <c r="D830" s="8" t="s">
        <v>1356</v>
      </c>
      <c r="E830" s="8" t="s">
        <v>1172</v>
      </c>
      <c r="F830" s="8" t="s">
        <v>48</v>
      </c>
      <c r="G830" s="8" t="s">
        <v>50</v>
      </c>
      <c r="H830" s="8" t="s">
        <v>49</v>
      </c>
      <c r="I830" s="9" t="n">
        <v>0.25</v>
      </c>
      <c r="J830" s="8" t="s">
        <v>33</v>
      </c>
    </row>
    <row r="831" customFormat="false" ht="15" hidden="false" customHeight="false" outlineLevel="0" collapsed="false">
      <c r="A831" s="8" t="n">
        <v>12184</v>
      </c>
      <c r="B831" s="8" t="n">
        <v>185</v>
      </c>
      <c r="C831" s="8" t="str">
        <f aca="false">IFERROR(INDEX('Project Classifications'!$B$2:$B$231,MATCH(B831,'Project Classifications'!$A$2:$A$231,0)),"")</f>
        <v>M1 Ordering Fractions Elementary Mathematics Task</v>
      </c>
      <c r="D831" s="8" t="s">
        <v>1357</v>
      </c>
      <c r="E831" s="8" t="s">
        <v>1172</v>
      </c>
      <c r="F831" s="8" t="s">
        <v>53</v>
      </c>
      <c r="G831" s="8" t="s">
        <v>55</v>
      </c>
      <c r="H831" s="8" t="s">
        <v>56</v>
      </c>
      <c r="I831" s="9" t="n">
        <v>0.142857142857143</v>
      </c>
      <c r="J831" s="8" t="s">
        <v>33</v>
      </c>
    </row>
    <row r="832" customFormat="false" ht="15" hidden="false" customHeight="false" outlineLevel="0" collapsed="false">
      <c r="A832" s="8" t="n">
        <v>12185</v>
      </c>
      <c r="B832" s="8" t="n">
        <v>185</v>
      </c>
      <c r="C832" s="8" t="str">
        <f aca="false">IFERROR(INDEX('Project Classifications'!$B$2:$B$231,MATCH(B832,'Project Classifications'!$A$2:$A$231,0)),"")</f>
        <v>M1 Ordering Fractions Elementary Mathematics Task</v>
      </c>
      <c r="D832" s="8" t="s">
        <v>1393</v>
      </c>
      <c r="E832" s="8" t="s">
        <v>574</v>
      </c>
      <c r="F832" s="8" t="s">
        <v>48</v>
      </c>
      <c r="G832" s="8" t="s">
        <v>50</v>
      </c>
      <c r="H832" s="8" t="s">
        <v>49</v>
      </c>
      <c r="I832" s="9" t="n">
        <v>0.25</v>
      </c>
      <c r="J832" s="8" t="s">
        <v>33</v>
      </c>
    </row>
    <row r="833" customFormat="false" ht="15" hidden="false" customHeight="false" outlineLevel="0" collapsed="false">
      <c r="A833" s="8" t="n">
        <v>12186</v>
      </c>
      <c r="B833" s="8" t="n">
        <v>186</v>
      </c>
      <c r="C833" s="8" t="str">
        <f aca="false">IFERROR(INDEX('Project Classifications'!$B$2:$B$231,MATCH(B833,'Project Classifications'!$A$2:$A$231,0)),"")</f>
        <v>S1 Mystery Powder Science Elementary Task</v>
      </c>
      <c r="D833" s="8" t="s">
        <v>1394</v>
      </c>
      <c r="E833" s="8" t="s">
        <v>600</v>
      </c>
      <c r="F833" s="8" t="s">
        <v>305</v>
      </c>
      <c r="G833" s="8" t="s">
        <v>307</v>
      </c>
      <c r="H833" s="8" t="s">
        <v>306</v>
      </c>
      <c r="I833" s="9" t="n">
        <v>0</v>
      </c>
      <c r="J833" s="8" t="s">
        <v>33</v>
      </c>
    </row>
    <row r="834" customFormat="false" ht="15" hidden="false" customHeight="false" outlineLevel="0" collapsed="false">
      <c r="A834" s="8" t="n">
        <v>12242</v>
      </c>
      <c r="B834" s="8" t="n">
        <v>186</v>
      </c>
      <c r="C834" s="8" t="str">
        <f aca="false">IFERROR(INDEX('Project Classifications'!$B$2:$B$231,MATCH(B834,'Project Classifications'!$A$2:$A$231,0)),"")</f>
        <v>S1 Mystery Powder Science Elementary Task</v>
      </c>
      <c r="D834" s="8" t="s">
        <v>1356</v>
      </c>
      <c r="E834" s="8" t="s">
        <v>1172</v>
      </c>
      <c r="F834" s="8" t="s">
        <v>48</v>
      </c>
      <c r="G834" s="8" t="s">
        <v>50</v>
      </c>
      <c r="H834" s="8" t="s">
        <v>49</v>
      </c>
      <c r="I834" s="9" t="n">
        <v>0.25</v>
      </c>
      <c r="J834" s="8" t="s">
        <v>33</v>
      </c>
    </row>
    <row r="835" customFormat="false" ht="15" hidden="false" customHeight="false" outlineLevel="0" collapsed="false">
      <c r="A835" s="8" t="n">
        <v>12243</v>
      </c>
      <c r="B835" s="8" t="n">
        <v>186</v>
      </c>
      <c r="C835" s="8" t="str">
        <f aca="false">IFERROR(INDEX('Project Classifications'!$B$2:$B$231,MATCH(B835,'Project Classifications'!$A$2:$A$231,0)),"")</f>
        <v>S1 Mystery Powder Science Elementary Task</v>
      </c>
      <c r="D835" s="8" t="s">
        <v>1357</v>
      </c>
      <c r="E835" s="8" t="s">
        <v>1172</v>
      </c>
      <c r="F835" s="8" t="s">
        <v>53</v>
      </c>
      <c r="G835" s="8" t="s">
        <v>55</v>
      </c>
      <c r="H835" s="8" t="s">
        <v>56</v>
      </c>
      <c r="I835" s="9" t="n">
        <v>0.142857142857143</v>
      </c>
      <c r="J835" s="8" t="s">
        <v>33</v>
      </c>
    </row>
    <row r="836" customFormat="false" ht="15" hidden="false" customHeight="false" outlineLevel="0" collapsed="false">
      <c r="A836" s="8" t="n">
        <v>12244</v>
      </c>
      <c r="B836" s="8" t="n">
        <v>186</v>
      </c>
      <c r="C836" s="8" t="str">
        <f aca="false">IFERROR(INDEX('Project Classifications'!$B$2:$B$231,MATCH(B836,'Project Classifications'!$A$2:$A$231,0)),"")</f>
        <v>S1 Mystery Powder Science Elementary Task</v>
      </c>
      <c r="D836" s="8" t="s">
        <v>1395</v>
      </c>
      <c r="E836" s="8" t="s">
        <v>574</v>
      </c>
      <c r="F836" s="8" t="s">
        <v>48</v>
      </c>
      <c r="G836" s="8" t="s">
        <v>50</v>
      </c>
      <c r="H836" s="8" t="s">
        <v>49</v>
      </c>
      <c r="I836" s="9" t="n">
        <v>0.25</v>
      </c>
      <c r="J836" s="8" t="s">
        <v>33</v>
      </c>
    </row>
    <row r="837" customFormat="false" ht="15" hidden="false" customHeight="false" outlineLevel="0" collapsed="false">
      <c r="A837" s="8" t="n">
        <v>12245</v>
      </c>
      <c r="B837" s="8" t="n">
        <v>187</v>
      </c>
      <c r="C837" s="8" t="str">
        <f aca="false">IFERROR(INDEX('Project Classifications'!$B$2:$B$231,MATCH(B837,'Project Classifications'!$A$2:$A$231,0)),"")</f>
        <v>Data for: The non-democratic roots of mass education: Evidence from 200 years</v>
      </c>
      <c r="D837" s="8" t="s">
        <v>653</v>
      </c>
      <c r="E837" s="8" t="s">
        <v>654</v>
      </c>
      <c r="F837" s="8" t="s">
        <v>48</v>
      </c>
      <c r="G837" s="8" t="s">
        <v>50</v>
      </c>
      <c r="H837" s="8" t="s">
        <v>49</v>
      </c>
      <c r="I837" s="9" t="n">
        <v>0.25</v>
      </c>
      <c r="J837" s="8" t="s">
        <v>33</v>
      </c>
    </row>
    <row r="838" customFormat="false" ht="15" hidden="false" customHeight="false" outlineLevel="0" collapsed="false">
      <c r="A838" s="8" t="n">
        <v>12246</v>
      </c>
      <c r="B838" s="8" t="n">
        <v>188</v>
      </c>
      <c r="C838" s="8" t="str">
        <f aca="false">IFERROR(INDEX('Project Classifications'!$B$2:$B$231,MATCH(B838,'Project Classifications'!$A$2:$A$231,0)),"")</f>
        <v>Catalog of Ocean Data Science Initiatives</v>
      </c>
      <c r="D838" s="8" t="s">
        <v>1396</v>
      </c>
      <c r="E838" s="8" t="s">
        <v>574</v>
      </c>
      <c r="F838" s="8" t="s">
        <v>53</v>
      </c>
      <c r="G838" s="8" t="s">
        <v>55</v>
      </c>
      <c r="H838" s="8" t="s">
        <v>56</v>
      </c>
      <c r="I838" s="9" t="n">
        <v>0.285714285714286</v>
      </c>
      <c r="J838" s="8" t="s">
        <v>33</v>
      </c>
    </row>
    <row r="839" customFormat="false" ht="15" hidden="false" customHeight="false" outlineLevel="0" collapsed="false">
      <c r="A839" s="8" t="n">
        <v>12248</v>
      </c>
      <c r="B839" s="8" t="n">
        <v>188</v>
      </c>
      <c r="C839" s="8" t="str">
        <f aca="false">IFERROR(INDEX('Project Classifications'!$B$2:$B$231,MATCH(B839,'Project Classifications'!$A$2:$A$231,0)),"")</f>
        <v>Catalog of Ocean Data Science Initiatives</v>
      </c>
      <c r="D839" s="8" t="s">
        <v>1397</v>
      </c>
      <c r="E839" s="8" t="s">
        <v>562</v>
      </c>
      <c r="F839" s="8" t="s">
        <v>179</v>
      </c>
      <c r="G839" s="8" t="s">
        <v>1398</v>
      </c>
      <c r="H839" s="8" t="s">
        <v>1399</v>
      </c>
      <c r="I839" s="9" t="n">
        <v>0.5</v>
      </c>
      <c r="J839" s="8" t="s">
        <v>33</v>
      </c>
    </row>
    <row r="840" customFormat="false" ht="15" hidden="false" customHeight="false" outlineLevel="0" collapsed="false">
      <c r="A840" s="8" t="n">
        <v>12249</v>
      </c>
      <c r="B840" s="8" t="n">
        <v>188</v>
      </c>
      <c r="C840" s="8" t="str">
        <f aca="false">IFERROR(INDEX('Project Classifications'!$B$2:$B$231,MATCH(B840,'Project Classifications'!$A$2:$A$231,0)),"")</f>
        <v>Catalog of Ocean Data Science Initiatives</v>
      </c>
      <c r="D840" s="8" t="s">
        <v>1400</v>
      </c>
      <c r="E840" s="8" t="s">
        <v>562</v>
      </c>
      <c r="F840" s="8" t="s">
        <v>179</v>
      </c>
      <c r="G840" s="8" t="s">
        <v>1398</v>
      </c>
      <c r="H840" s="8" t="s">
        <v>1399</v>
      </c>
      <c r="I840" s="9" t="n">
        <v>0.5</v>
      </c>
      <c r="J840" s="8" t="s">
        <v>33</v>
      </c>
    </row>
    <row r="841" customFormat="false" ht="15" hidden="false" customHeight="false" outlineLevel="0" collapsed="false">
      <c r="A841" s="8" t="n">
        <v>14108</v>
      </c>
      <c r="B841" s="8" t="n">
        <v>189</v>
      </c>
      <c r="C841" s="8" t="str">
        <f aca="false">IFERROR(INDEX('Project Classifications'!$B$2:$B$231,MATCH(B841,'Project Classifications'!$A$2:$A$231,0)),"")</f>
        <v>Association for Legal Justice (ALJ) Human Rights Testimony, Northern Ireland</v>
      </c>
      <c r="D841" s="8" t="s">
        <v>1401</v>
      </c>
      <c r="E841" s="8" t="s">
        <v>562</v>
      </c>
      <c r="F841" s="8" t="s">
        <v>53</v>
      </c>
      <c r="G841" s="8" t="s">
        <v>55</v>
      </c>
      <c r="H841" s="8" t="s">
        <v>56</v>
      </c>
      <c r="I841" s="9" t="n">
        <v>0.142857142857143</v>
      </c>
      <c r="J841" s="8" t="s">
        <v>33</v>
      </c>
    </row>
    <row r="842" customFormat="false" ht="15" hidden="false" customHeight="false" outlineLevel="0" collapsed="false">
      <c r="A842" s="8" t="n">
        <v>14109</v>
      </c>
      <c r="B842" s="8" t="n">
        <v>189</v>
      </c>
      <c r="C842" s="8" t="str">
        <f aca="false">IFERROR(INDEX('Project Classifications'!$B$2:$B$231,MATCH(B842,'Project Classifications'!$A$2:$A$231,0)),"")</f>
        <v>Association for Legal Justice (ALJ) Human Rights Testimony, Northern Ireland</v>
      </c>
      <c r="D842" s="8" t="s">
        <v>1402</v>
      </c>
      <c r="E842" s="8" t="s">
        <v>562</v>
      </c>
      <c r="F842" s="8" t="s">
        <v>30</v>
      </c>
      <c r="G842" s="8" t="s">
        <v>32</v>
      </c>
      <c r="H842" s="8" t="s">
        <v>31</v>
      </c>
      <c r="I842" s="9" t="n">
        <v>0.0588235294117647</v>
      </c>
      <c r="J842" s="8" t="s">
        <v>33</v>
      </c>
    </row>
    <row r="843" customFormat="false" ht="15" hidden="false" customHeight="false" outlineLevel="0" collapsed="false">
      <c r="A843" s="8" t="n">
        <v>14110</v>
      </c>
      <c r="B843" s="8" t="n">
        <v>189</v>
      </c>
      <c r="C843" s="8" t="str">
        <f aca="false">IFERROR(INDEX('Project Classifications'!$B$2:$B$231,MATCH(B843,'Project Classifications'!$A$2:$A$231,0)),"")</f>
        <v>Association for Legal Justice (ALJ) Human Rights Testimony, Northern Ireland</v>
      </c>
      <c r="D843" s="8" t="s">
        <v>1403</v>
      </c>
      <c r="E843" s="8" t="s">
        <v>562</v>
      </c>
      <c r="F843" s="8" t="s">
        <v>53</v>
      </c>
      <c r="G843" s="8" t="s">
        <v>55</v>
      </c>
      <c r="H843" s="8" t="s">
        <v>56</v>
      </c>
      <c r="I843" s="9" t="n">
        <v>0.142857142857143</v>
      </c>
      <c r="J843" s="8" t="s">
        <v>33</v>
      </c>
    </row>
    <row r="844" customFormat="false" ht="15" hidden="false" customHeight="false" outlineLevel="0" collapsed="false">
      <c r="A844" s="8" t="n">
        <v>14162</v>
      </c>
      <c r="B844" s="8" t="n">
        <v>189</v>
      </c>
      <c r="C844" s="8" t="str">
        <f aca="false">IFERROR(INDEX('Project Classifications'!$B$2:$B$231,MATCH(B844,'Project Classifications'!$A$2:$A$231,0)),"")</f>
        <v>Association for Legal Justice (ALJ) Human Rights Testimony, Northern Ireland</v>
      </c>
      <c r="D844" s="8" t="s">
        <v>1404</v>
      </c>
      <c r="E844" s="8" t="s">
        <v>574</v>
      </c>
      <c r="F844" s="8" t="s">
        <v>53</v>
      </c>
      <c r="G844" s="8" t="s">
        <v>55</v>
      </c>
      <c r="H844" s="8" t="s">
        <v>56</v>
      </c>
      <c r="I844" s="9" t="n">
        <v>0.142857142857143</v>
      </c>
      <c r="J844" s="8" t="s">
        <v>33</v>
      </c>
    </row>
    <row r="845" customFormat="false" ht="15" hidden="false" customHeight="false" outlineLevel="0" collapsed="false">
      <c r="A845" s="8" t="n">
        <v>14163</v>
      </c>
      <c r="B845" s="8" t="n">
        <v>190</v>
      </c>
      <c r="C845" s="8" t="str">
        <f aca="false">IFERROR(INDEX('Project Classifications'!$B$2:$B$231,MATCH(B845,'Project Classifications'!$A$2:$A$231,0)),"")</f>
        <v>Data for: “Russia: The politics and psychology of overcommitment,” in: The ideology of the offensive: Military decision making and the disasters of 1914</v>
      </c>
      <c r="D845" s="8" t="s">
        <v>653</v>
      </c>
      <c r="E845" s="8" t="s">
        <v>654</v>
      </c>
      <c r="F845" s="8" t="s">
        <v>53</v>
      </c>
      <c r="G845" s="8" t="s">
        <v>55</v>
      </c>
      <c r="H845" s="8" t="s">
        <v>56</v>
      </c>
      <c r="I845" s="9" t="n">
        <v>0.142857142857143</v>
      </c>
      <c r="J845" s="8" t="s">
        <v>33</v>
      </c>
    </row>
    <row r="846" customFormat="false" ht="15" hidden="false" customHeight="false" outlineLevel="0" collapsed="false">
      <c r="A846" s="8" t="n">
        <v>14164</v>
      </c>
      <c r="B846" s="8" t="n">
        <v>190</v>
      </c>
      <c r="C846" s="8" t="str">
        <f aca="false">IFERROR(INDEX('Project Classifications'!$B$2:$B$231,MATCH(B846,'Project Classifications'!$A$2:$A$231,0)),"")</f>
        <v>Data for: “Russia: The politics and psychology of overcommitment,” in: The ideology of the offensive: Military decision making and the disasters of 1914</v>
      </c>
      <c r="D846" s="8" t="s">
        <v>1405</v>
      </c>
      <c r="E846" s="8" t="s">
        <v>574</v>
      </c>
      <c r="F846" s="8" t="s">
        <v>53</v>
      </c>
      <c r="G846" s="8" t="s">
        <v>55</v>
      </c>
      <c r="H846" s="8" t="s">
        <v>56</v>
      </c>
      <c r="I846" s="9" t="n">
        <v>0.142857142857143</v>
      </c>
      <c r="J846" s="8" t="s">
        <v>33</v>
      </c>
    </row>
    <row r="847" customFormat="false" ht="15" hidden="false" customHeight="false" outlineLevel="0" collapsed="false">
      <c r="A847" s="8" t="n">
        <v>14306</v>
      </c>
      <c r="B847" s="8" t="n">
        <v>190</v>
      </c>
      <c r="C847" s="8" t="str">
        <f aca="false">IFERROR(INDEX('Project Classifications'!$B$2:$B$231,MATCH(B847,'Project Classifications'!$A$2:$A$231,0)),"")</f>
        <v>Data for: “Russia: The politics and psychology of overcommitment,” in: The ideology of the offensive: Military decision making and the disasters of 1914</v>
      </c>
      <c r="D847" s="8" t="s">
        <v>1406</v>
      </c>
      <c r="E847" s="8" t="s">
        <v>562</v>
      </c>
      <c r="F847" s="8" t="s">
        <v>71</v>
      </c>
      <c r="G847" s="8" t="s">
        <v>83</v>
      </c>
      <c r="H847" s="8" t="s">
        <v>84</v>
      </c>
      <c r="I847" s="9" t="n">
        <v>0</v>
      </c>
      <c r="J847" s="8" t="s">
        <v>741</v>
      </c>
    </row>
    <row r="848" customFormat="false" ht="15" hidden="false" customHeight="false" outlineLevel="0" collapsed="false">
      <c r="A848" s="8" t="n">
        <v>14313</v>
      </c>
      <c r="B848" s="8" t="n">
        <v>191</v>
      </c>
      <c r="C848" s="8" t="str">
        <f aca="false">IFERROR(INDEX('Project Classifications'!$B$2:$B$231,MATCH(B848,'Project Classifications'!$A$2:$A$231,0)),"")</f>
        <v>Data for: Relational Foundations of an Unequal Consumer Credit Market: Symbiotic Ties between Banks and Payday Lenders</v>
      </c>
      <c r="D848" s="8" t="s">
        <v>653</v>
      </c>
      <c r="E848" s="8" t="s">
        <v>654</v>
      </c>
      <c r="F848" s="8" t="s">
        <v>36</v>
      </c>
      <c r="G848" s="8" t="s">
        <v>38</v>
      </c>
      <c r="H848" s="8" t="s">
        <v>39</v>
      </c>
      <c r="I848" s="9" t="n">
        <v>0.25</v>
      </c>
      <c r="J848" s="8" t="s">
        <v>33</v>
      </c>
    </row>
    <row r="849" customFormat="false" ht="15" hidden="false" customHeight="false" outlineLevel="0" collapsed="false">
      <c r="A849" s="8" t="n">
        <v>14316</v>
      </c>
      <c r="B849" s="8" t="n">
        <v>191</v>
      </c>
      <c r="C849" s="8" t="str">
        <f aca="false">IFERROR(INDEX('Project Classifications'!$B$2:$B$231,MATCH(B849,'Project Classifications'!$A$2:$A$231,0)),"")</f>
        <v>Data for: Relational Foundations of an Unequal Consumer Credit Market: Symbiotic Ties between Banks and Payday Lenders</v>
      </c>
      <c r="D849" s="8" t="s">
        <v>1407</v>
      </c>
      <c r="E849" s="8" t="s">
        <v>574</v>
      </c>
      <c r="F849" s="8" t="s">
        <v>53</v>
      </c>
      <c r="G849" s="8" t="s">
        <v>55</v>
      </c>
      <c r="H849" s="8" t="s">
        <v>56</v>
      </c>
      <c r="I849" s="9" t="n">
        <v>0.142857142857143</v>
      </c>
      <c r="J849" s="8" t="s">
        <v>33</v>
      </c>
    </row>
    <row r="850" customFormat="false" ht="15" hidden="false" customHeight="false" outlineLevel="0" collapsed="false">
      <c r="A850" s="8" t="n">
        <v>14318</v>
      </c>
      <c r="B850" s="8" t="n">
        <v>192</v>
      </c>
      <c r="C850" s="8" t="str">
        <f aca="false">IFERROR(INDEX('Project Classifications'!$B$2:$B$231,MATCH(B850,'Project Classifications'!$A$2:$A$231,0)),"")</f>
        <v>Democracies and Dictatorships in Latin America: Political Actors, 1944-2010</v>
      </c>
      <c r="D850" s="8" t="s">
        <v>1408</v>
      </c>
      <c r="E850" s="8" t="s">
        <v>562</v>
      </c>
      <c r="F850" s="8" t="s">
        <v>48</v>
      </c>
      <c r="G850" s="8" t="s">
        <v>50</v>
      </c>
      <c r="H850" s="8" t="s">
        <v>49</v>
      </c>
      <c r="I850" s="9" t="n">
        <v>0.0625</v>
      </c>
      <c r="J850" s="8" t="s">
        <v>33</v>
      </c>
    </row>
    <row r="851" customFormat="false" ht="15" hidden="false" customHeight="false" outlineLevel="0" collapsed="false">
      <c r="A851" s="8" t="n">
        <v>14338</v>
      </c>
      <c r="B851" s="8" t="n">
        <v>192</v>
      </c>
      <c r="C851" s="8" t="str">
        <f aca="false">IFERROR(INDEX('Project Classifications'!$B$2:$B$231,MATCH(B851,'Project Classifications'!$A$2:$A$231,0)),"")</f>
        <v>Democracies and Dictatorships in Latin America: Political Actors, 1944-2010</v>
      </c>
      <c r="D851" s="8" t="s">
        <v>1409</v>
      </c>
      <c r="E851" s="8" t="s">
        <v>574</v>
      </c>
      <c r="F851" s="8" t="s">
        <v>53</v>
      </c>
      <c r="G851" s="8" t="s">
        <v>55</v>
      </c>
      <c r="H851" s="8" t="s">
        <v>56</v>
      </c>
      <c r="I851" s="9" t="n">
        <v>0.285714285714286</v>
      </c>
      <c r="J851" s="8" t="s">
        <v>33</v>
      </c>
    </row>
    <row r="852" customFormat="false" ht="15" hidden="false" customHeight="false" outlineLevel="0" collapsed="false">
      <c r="A852" s="8" t="n">
        <v>14339</v>
      </c>
      <c r="B852" s="8" t="n">
        <v>193</v>
      </c>
      <c r="C852" s="8" t="str">
        <f aca="false">IFERROR(INDEX('Project Classifications'!$B$2:$B$231,MATCH(B852,'Project Classifications'!$A$2:$A$231,0)),"")</f>
        <v>Data for: “Ninguém me chama” - “Nobody asked me”: Gendered Patterns of Participation in Sea Turtle Conservation in Northeast Brazil</v>
      </c>
      <c r="D852" s="8" t="s">
        <v>653</v>
      </c>
      <c r="E852" s="8" t="s">
        <v>654</v>
      </c>
      <c r="F852" s="8" t="s">
        <v>1094</v>
      </c>
      <c r="G852" s="8" t="s">
        <v>1410</v>
      </c>
      <c r="H852" s="8" t="s">
        <v>1411</v>
      </c>
      <c r="I852" s="9" t="n">
        <v>0.333333333333333</v>
      </c>
      <c r="J852" s="8" t="s">
        <v>33</v>
      </c>
    </row>
    <row r="853" customFormat="false" ht="15" hidden="false" customHeight="false" outlineLevel="0" collapsed="false">
      <c r="A853" s="8" t="n">
        <v>14340</v>
      </c>
      <c r="B853" s="8" t="n">
        <v>193</v>
      </c>
      <c r="C853" s="8" t="str">
        <f aca="false">IFERROR(INDEX('Project Classifications'!$B$2:$B$231,MATCH(B853,'Project Classifications'!$A$2:$A$231,0)),"")</f>
        <v>Data for: “Ninguém me chama” - “Nobody asked me”: Gendered Patterns of Participation in Sea Turtle Conservation in Northeast Brazil</v>
      </c>
      <c r="D853" s="8" t="s">
        <v>1412</v>
      </c>
      <c r="E853" s="8" t="s">
        <v>574</v>
      </c>
      <c r="F853" s="8" t="s">
        <v>53</v>
      </c>
      <c r="G853" s="8" t="s">
        <v>55</v>
      </c>
      <c r="H853" s="8" t="s">
        <v>56</v>
      </c>
      <c r="I853" s="9" t="n">
        <v>0.285714285714286</v>
      </c>
      <c r="J853" s="8" t="s">
        <v>33</v>
      </c>
    </row>
    <row r="854" customFormat="false" ht="15" hidden="false" customHeight="false" outlineLevel="0" collapsed="false">
      <c r="A854" s="8" t="n">
        <v>14341</v>
      </c>
      <c r="B854" s="8" t="n">
        <v>193</v>
      </c>
      <c r="C854" s="8" t="str">
        <f aca="false">IFERROR(INDEX('Project Classifications'!$B$2:$B$231,MATCH(B854,'Project Classifications'!$A$2:$A$231,0)),"")</f>
        <v>Data for: “Ninguém me chama” - “Nobody asked me”: Gendered Patterns of Participation in Sea Turtle Conservation in Northeast Brazil</v>
      </c>
      <c r="D854" s="8" t="s">
        <v>1413</v>
      </c>
      <c r="E854" s="8" t="s">
        <v>562</v>
      </c>
      <c r="F854" s="8" t="s">
        <v>71</v>
      </c>
      <c r="G854" s="8" t="s">
        <v>83</v>
      </c>
      <c r="H854" s="8" t="s">
        <v>84</v>
      </c>
      <c r="I854" s="9" t="n">
        <v>0.5</v>
      </c>
      <c r="J854" s="8" t="s">
        <v>33</v>
      </c>
    </row>
    <row r="855" customFormat="false" ht="15" hidden="false" customHeight="false" outlineLevel="0" collapsed="false">
      <c r="A855" s="8" t="n">
        <v>14347</v>
      </c>
      <c r="B855" s="8" t="n">
        <v>193</v>
      </c>
      <c r="C855" s="8" t="str">
        <f aca="false">IFERROR(INDEX('Project Classifications'!$B$2:$B$231,MATCH(B855,'Project Classifications'!$A$2:$A$231,0)),"")</f>
        <v>Data for: “Ninguém me chama” - “Nobody asked me”: Gendered Patterns of Participation in Sea Turtle Conservation in Northeast Brazil</v>
      </c>
      <c r="D855" s="8" t="s">
        <v>1414</v>
      </c>
      <c r="E855" s="8" t="s">
        <v>562</v>
      </c>
      <c r="F855" s="8" t="s">
        <v>71</v>
      </c>
      <c r="G855" s="8" t="s">
        <v>73</v>
      </c>
      <c r="H855" s="8" t="s">
        <v>74</v>
      </c>
      <c r="I855" s="9" t="n">
        <v>0.0714285714285714</v>
      </c>
      <c r="J855" s="8" t="s">
        <v>33</v>
      </c>
    </row>
    <row r="856" customFormat="false" ht="15" hidden="false" customHeight="false" outlineLevel="0" collapsed="false">
      <c r="A856" s="8" t="n">
        <v>14348</v>
      </c>
      <c r="B856" s="8" t="n">
        <v>193</v>
      </c>
      <c r="C856" s="8" t="str">
        <f aca="false">IFERROR(INDEX('Project Classifications'!$B$2:$B$231,MATCH(B856,'Project Classifications'!$A$2:$A$231,0)),"")</f>
        <v>Data for: “Ninguém me chama” - “Nobody asked me”: Gendered Patterns of Participation in Sea Turtle Conservation in Northeast Brazil</v>
      </c>
      <c r="D856" s="8" t="s">
        <v>1415</v>
      </c>
      <c r="E856" s="8" t="s">
        <v>562</v>
      </c>
      <c r="F856" s="8" t="s">
        <v>48</v>
      </c>
      <c r="G856" s="8" t="s">
        <v>50</v>
      </c>
      <c r="H856" s="8" t="s">
        <v>49</v>
      </c>
      <c r="I856" s="9" t="n">
        <v>0.0625</v>
      </c>
      <c r="J856" s="8" t="s">
        <v>33</v>
      </c>
    </row>
    <row r="857" customFormat="false" ht="15" hidden="false" customHeight="false" outlineLevel="0" collapsed="false">
      <c r="A857" s="8" t="n">
        <v>14349</v>
      </c>
      <c r="B857" s="8" t="n">
        <v>193</v>
      </c>
      <c r="C857" s="8" t="str">
        <f aca="false">IFERROR(INDEX('Project Classifications'!$B$2:$B$231,MATCH(B857,'Project Classifications'!$A$2:$A$231,0)),"")</f>
        <v>Data for: “Ninguém me chama” - “Nobody asked me”: Gendered Patterns of Participation in Sea Turtle Conservation in Northeast Brazil</v>
      </c>
      <c r="D857" s="8" t="s">
        <v>1416</v>
      </c>
      <c r="E857" s="8" t="s">
        <v>562</v>
      </c>
      <c r="F857" s="8" t="s">
        <v>305</v>
      </c>
      <c r="G857" s="8" t="s">
        <v>307</v>
      </c>
      <c r="H857" s="8" t="s">
        <v>306</v>
      </c>
      <c r="I857" s="9" t="n">
        <v>0</v>
      </c>
      <c r="J857" s="8" t="s">
        <v>33</v>
      </c>
    </row>
    <row r="858" customFormat="false" ht="15" hidden="false" customHeight="false" outlineLevel="0" collapsed="false">
      <c r="A858" s="8" t="n">
        <v>14352</v>
      </c>
      <c r="B858" s="8" t="n">
        <v>194</v>
      </c>
      <c r="C858" s="8" t="str">
        <f aca="false">IFERROR(INDEX('Project Classifications'!$B$2:$B$231,MATCH(B858,'Project Classifications'!$A$2:$A$231,0)),"")</f>
        <v>Scoring</v>
      </c>
      <c r="D858" s="8" t="s">
        <v>1417</v>
      </c>
      <c r="E858" s="8" t="s">
        <v>600</v>
      </c>
      <c r="F858" s="8" t="s">
        <v>305</v>
      </c>
      <c r="G858" s="8" t="s">
        <v>307</v>
      </c>
      <c r="H858" s="8" t="s">
        <v>306</v>
      </c>
      <c r="I858" s="9" t="n">
        <v>0</v>
      </c>
      <c r="J858" s="8" t="s">
        <v>33</v>
      </c>
    </row>
    <row r="859" customFormat="false" ht="15" hidden="false" customHeight="false" outlineLevel="0" collapsed="false">
      <c r="A859" s="8" t="n">
        <v>14447</v>
      </c>
      <c r="B859" s="8" t="n">
        <v>194</v>
      </c>
      <c r="C859" s="8" t="str">
        <f aca="false">IFERROR(INDEX('Project Classifications'!$B$2:$B$231,MATCH(B859,'Project Classifications'!$A$2:$A$231,0)),"")</f>
        <v>Scoring</v>
      </c>
      <c r="D859" s="8" t="s">
        <v>1356</v>
      </c>
      <c r="E859" s="8" t="s">
        <v>1172</v>
      </c>
      <c r="F859" s="8" t="s">
        <v>48</v>
      </c>
      <c r="G859" s="8" t="s">
        <v>50</v>
      </c>
      <c r="H859" s="8" t="s">
        <v>49</v>
      </c>
      <c r="I859" s="9" t="n">
        <v>0.25</v>
      </c>
      <c r="J859" s="8" t="s">
        <v>33</v>
      </c>
    </row>
    <row r="860" customFormat="false" ht="15" hidden="false" customHeight="false" outlineLevel="0" collapsed="false">
      <c r="A860" s="8" t="n">
        <v>14448</v>
      </c>
      <c r="B860" s="8" t="n">
        <v>194</v>
      </c>
      <c r="C860" s="8" t="str">
        <f aca="false">IFERROR(INDEX('Project Classifications'!$B$2:$B$231,MATCH(B860,'Project Classifications'!$A$2:$A$231,0)),"")</f>
        <v>Scoring</v>
      </c>
      <c r="D860" s="8" t="s">
        <v>1357</v>
      </c>
      <c r="E860" s="8" t="s">
        <v>1172</v>
      </c>
      <c r="F860" s="8" t="s">
        <v>53</v>
      </c>
      <c r="G860" s="8" t="s">
        <v>55</v>
      </c>
      <c r="H860" s="8" t="s">
        <v>56</v>
      </c>
      <c r="I860" s="9" t="n">
        <v>0.142857142857143</v>
      </c>
      <c r="J860" s="8" t="s">
        <v>33</v>
      </c>
    </row>
    <row r="861" customFormat="false" ht="15" hidden="false" customHeight="false" outlineLevel="0" collapsed="false">
      <c r="A861" s="8" t="n">
        <v>14449</v>
      </c>
      <c r="B861" s="8" t="n">
        <v>194</v>
      </c>
      <c r="C861" s="8" t="str">
        <f aca="false">IFERROR(INDEX('Project Classifications'!$B$2:$B$231,MATCH(B861,'Project Classifications'!$A$2:$A$231,0)),"")</f>
        <v>Scoring</v>
      </c>
      <c r="D861" s="8" t="s">
        <v>1418</v>
      </c>
      <c r="E861" s="8" t="s">
        <v>574</v>
      </c>
      <c r="F861" s="8" t="s">
        <v>53</v>
      </c>
      <c r="G861" s="8" t="s">
        <v>55</v>
      </c>
      <c r="H861" s="8" t="s">
        <v>56</v>
      </c>
      <c r="I861" s="9" t="n">
        <v>0.285714285714286</v>
      </c>
      <c r="J861" s="8" t="s">
        <v>33</v>
      </c>
    </row>
    <row r="862" customFormat="false" ht="15" hidden="false" customHeight="false" outlineLevel="0" collapsed="false">
      <c r="A862" s="8" t="n">
        <v>14450</v>
      </c>
      <c r="B862" s="8" t="n">
        <v>196</v>
      </c>
      <c r="C862" s="8" t="str">
        <f aca="false">IFERROR(INDEX('Project Classifications'!$B$2:$B$231,MATCH(B862,'Project Classifications'!$A$2:$A$231,0)),"")</f>
        <v>Integrating End-User Needs and Perspectives in the Measurement of Young Adult Climate Change Distress</v>
      </c>
      <c r="D862" s="8" t="s">
        <v>1419</v>
      </c>
      <c r="E862" s="8" t="s">
        <v>778</v>
      </c>
      <c r="F862" s="8" t="s">
        <v>42</v>
      </c>
      <c r="G862" s="8" t="s">
        <v>44</v>
      </c>
      <c r="H862" s="8" t="s">
        <v>45</v>
      </c>
      <c r="I862" s="9" t="n">
        <v>0</v>
      </c>
      <c r="J862" s="8" t="s">
        <v>741</v>
      </c>
    </row>
    <row r="863" customFormat="false" ht="15" hidden="false" customHeight="false" outlineLevel="0" collapsed="false">
      <c r="A863" s="8" t="n">
        <v>14451</v>
      </c>
      <c r="B863" s="8" t="n">
        <v>196</v>
      </c>
      <c r="C863" s="8" t="str">
        <f aca="false">IFERROR(INDEX('Project Classifications'!$B$2:$B$231,MATCH(B863,'Project Classifications'!$A$2:$A$231,0)),"")</f>
        <v>Integrating End-User Needs and Perspectives in the Measurement of Young Adult Climate Change Distress</v>
      </c>
      <c r="D863" s="8" t="s">
        <v>1420</v>
      </c>
      <c r="E863" s="8" t="s">
        <v>562</v>
      </c>
      <c r="F863" s="8" t="s">
        <v>42</v>
      </c>
      <c r="G863" s="8" t="s">
        <v>44</v>
      </c>
      <c r="H863" s="8" t="s">
        <v>45</v>
      </c>
      <c r="I863" s="9" t="n">
        <v>0.277777777777778</v>
      </c>
      <c r="J863" s="8" t="s">
        <v>33</v>
      </c>
    </row>
    <row r="864" customFormat="false" ht="15" hidden="false" customHeight="false" outlineLevel="0" collapsed="false">
      <c r="A864" s="8" t="n">
        <v>14453</v>
      </c>
      <c r="B864" s="8" t="n">
        <v>196</v>
      </c>
      <c r="C864" s="8" t="str">
        <f aca="false">IFERROR(INDEX('Project Classifications'!$B$2:$B$231,MATCH(B864,'Project Classifications'!$A$2:$A$231,0)),"")</f>
        <v>Integrating End-User Needs and Perspectives in the Measurement of Young Adult Climate Change Distress</v>
      </c>
      <c r="D864" s="8" t="s">
        <v>1421</v>
      </c>
      <c r="E864" s="8" t="s">
        <v>562</v>
      </c>
      <c r="F864" s="8" t="s">
        <v>42</v>
      </c>
      <c r="G864" s="8" t="s">
        <v>44</v>
      </c>
      <c r="H864" s="8" t="s">
        <v>45</v>
      </c>
      <c r="I864" s="9" t="n">
        <v>0.166666666666667</v>
      </c>
      <c r="J864" s="8" t="s">
        <v>33</v>
      </c>
    </row>
    <row r="865" customFormat="false" ht="15" hidden="false" customHeight="false" outlineLevel="0" collapsed="false">
      <c r="A865" s="8" t="n">
        <v>14454</v>
      </c>
      <c r="B865" s="8" t="n">
        <v>196</v>
      </c>
      <c r="C865" s="8" t="str">
        <f aca="false">IFERROR(INDEX('Project Classifications'!$B$2:$B$231,MATCH(B865,'Project Classifications'!$A$2:$A$231,0)),"")</f>
        <v>Integrating End-User Needs and Perspectives in the Measurement of Young Adult Climate Change Distress</v>
      </c>
      <c r="D865" s="8" t="s">
        <v>1422</v>
      </c>
      <c r="E865" s="8" t="s">
        <v>562</v>
      </c>
      <c r="F865" s="8" t="s">
        <v>42</v>
      </c>
      <c r="G865" s="8" t="s">
        <v>44</v>
      </c>
      <c r="H865" s="8" t="s">
        <v>45</v>
      </c>
      <c r="I865" s="9" t="n">
        <v>0.333333333333333</v>
      </c>
      <c r="J865" s="8" t="s">
        <v>33</v>
      </c>
    </row>
    <row r="866" customFormat="false" ht="15" hidden="false" customHeight="false" outlineLevel="0" collapsed="false">
      <c r="A866" s="8" t="n">
        <v>14455</v>
      </c>
      <c r="B866" s="8" t="n">
        <v>196</v>
      </c>
      <c r="C866" s="8" t="str">
        <f aca="false">IFERROR(INDEX('Project Classifications'!$B$2:$B$231,MATCH(B866,'Project Classifications'!$A$2:$A$231,0)),"")</f>
        <v>Integrating End-User Needs and Perspectives in the Measurement of Young Adult Climate Change Distress</v>
      </c>
      <c r="D866" s="8" t="s">
        <v>1423</v>
      </c>
      <c r="E866" s="8" t="s">
        <v>574</v>
      </c>
      <c r="F866" s="8" t="s">
        <v>42</v>
      </c>
      <c r="G866" s="8" t="s">
        <v>44</v>
      </c>
      <c r="H866" s="8" t="s">
        <v>45</v>
      </c>
      <c r="I866" s="9" t="n">
        <v>0.222222222222222</v>
      </c>
      <c r="J866" s="8" t="s">
        <v>33</v>
      </c>
    </row>
    <row r="867" customFormat="false" ht="15" hidden="false" customHeight="false" outlineLevel="0" collapsed="false">
      <c r="A867" s="8" t="n">
        <v>14456</v>
      </c>
      <c r="B867" s="8" t="n">
        <v>197</v>
      </c>
      <c r="C867" s="8" t="str">
        <f aca="false">IFERROR(INDEX('Project Classifications'!$B$2:$B$231,MATCH(B867,'Project Classifications'!$A$2:$A$231,0)),"")</f>
        <v>Data for: Responsible AI Practice in Libraries and Archives: A Review of the Literature</v>
      </c>
      <c r="D867" s="8" t="s">
        <v>1424</v>
      </c>
      <c r="E867" s="8" t="s">
        <v>562</v>
      </c>
      <c r="F867" s="8" t="s">
        <v>36</v>
      </c>
      <c r="G867" s="8" t="s">
        <v>38</v>
      </c>
      <c r="H867" s="8" t="s">
        <v>39</v>
      </c>
      <c r="I867" s="9" t="n">
        <v>0.25</v>
      </c>
      <c r="J867" s="8" t="s">
        <v>33</v>
      </c>
    </row>
    <row r="868" customFormat="false" ht="15" hidden="false" customHeight="false" outlineLevel="0" collapsed="false">
      <c r="A868" s="8" t="n">
        <v>14473</v>
      </c>
      <c r="B868" s="8" t="n">
        <v>197</v>
      </c>
      <c r="C868" s="8" t="str">
        <f aca="false">IFERROR(INDEX('Project Classifications'!$B$2:$B$231,MATCH(B868,'Project Classifications'!$A$2:$A$231,0)),"")</f>
        <v>Data for: Responsible AI Practice in Libraries and Archives: A Review of the Literature</v>
      </c>
      <c r="D868" s="8" t="s">
        <v>1425</v>
      </c>
      <c r="E868" s="8" t="s">
        <v>574</v>
      </c>
      <c r="F868" s="8" t="s">
        <v>53</v>
      </c>
      <c r="G868" s="8" t="s">
        <v>55</v>
      </c>
      <c r="H868" s="8" t="s">
        <v>56</v>
      </c>
      <c r="I868" s="9" t="n">
        <v>0.285714285714286</v>
      </c>
      <c r="J868" s="8" t="s">
        <v>33</v>
      </c>
    </row>
    <row r="869" customFormat="false" ht="15" hidden="false" customHeight="false" outlineLevel="0" collapsed="false">
      <c r="A869" s="8" t="n">
        <v>14474</v>
      </c>
      <c r="B869" s="8" t="n">
        <v>198</v>
      </c>
      <c r="C869" s="8" t="str">
        <f aca="false">IFERROR(INDEX('Project Classifications'!$B$2:$B$231,MATCH(B869,'Project Classifications'!$A$2:$A$231,0)),"")</f>
        <v>Data for: What the Iran-Iraq War tells us about the future of the Iran nuclear deal</v>
      </c>
      <c r="D869" s="8" t="s">
        <v>653</v>
      </c>
      <c r="E869" s="8" t="s">
        <v>654</v>
      </c>
      <c r="F869" s="8" t="s">
        <v>71</v>
      </c>
      <c r="G869" s="8" t="s">
        <v>83</v>
      </c>
      <c r="H869" s="8" t="s">
        <v>84</v>
      </c>
      <c r="I869" s="9" t="n">
        <v>0.25</v>
      </c>
      <c r="J869" s="8" t="s">
        <v>33</v>
      </c>
    </row>
    <row r="870" customFormat="false" ht="15" hidden="false" customHeight="false" outlineLevel="0" collapsed="false">
      <c r="A870" s="8" t="n">
        <v>14475</v>
      </c>
      <c r="B870" s="8" t="n">
        <v>198</v>
      </c>
      <c r="C870" s="8" t="str">
        <f aca="false">IFERROR(INDEX('Project Classifications'!$B$2:$B$231,MATCH(B870,'Project Classifications'!$A$2:$A$231,0)),"")</f>
        <v>Data for: What the Iran-Iraq War tells us about the future of the Iran nuclear deal</v>
      </c>
      <c r="D870" s="8" t="s">
        <v>1426</v>
      </c>
      <c r="E870" s="8" t="s">
        <v>562</v>
      </c>
      <c r="F870" s="8" t="s">
        <v>305</v>
      </c>
      <c r="G870" s="8" t="s">
        <v>307</v>
      </c>
      <c r="H870" s="8" t="s">
        <v>306</v>
      </c>
      <c r="I870" s="9" t="n">
        <v>0</v>
      </c>
      <c r="J870" s="8" t="s">
        <v>33</v>
      </c>
    </row>
    <row r="871" customFormat="false" ht="15" hidden="false" customHeight="false" outlineLevel="0" collapsed="false">
      <c r="A871" s="8" t="n">
        <v>14476</v>
      </c>
      <c r="B871" s="8" t="n">
        <v>199</v>
      </c>
      <c r="C871" s="8" t="str">
        <f aca="false">IFERROR(INDEX('Project Classifications'!$B$2:$B$231,MATCH(B871,'Project Classifications'!$A$2:$A$231,0)),"")</f>
        <v>Presidential Campaign Advertising in Chile, Brazil, and Peru</v>
      </c>
      <c r="D871" s="8" t="s">
        <v>1427</v>
      </c>
      <c r="E871" s="8" t="s">
        <v>600</v>
      </c>
      <c r="F871" s="8" t="s">
        <v>179</v>
      </c>
      <c r="G871" s="8" t="s">
        <v>181</v>
      </c>
      <c r="H871" s="8" t="s">
        <v>182</v>
      </c>
      <c r="I871" s="9" t="n">
        <v>0.333333333333333</v>
      </c>
      <c r="J871" s="8" t="s">
        <v>33</v>
      </c>
    </row>
    <row r="872" customFormat="false" ht="15" hidden="false" customHeight="false" outlineLevel="0" collapsed="false">
      <c r="A872" s="8" t="n">
        <v>14477</v>
      </c>
      <c r="B872" s="8" t="n">
        <v>199</v>
      </c>
      <c r="C872" s="8" t="str">
        <f aca="false">IFERROR(INDEX('Project Classifications'!$B$2:$B$231,MATCH(B872,'Project Classifications'!$A$2:$A$231,0)),"")</f>
        <v>Presidential Campaign Advertising in Chile, Brazil, and Peru</v>
      </c>
      <c r="D872" s="8" t="s">
        <v>1428</v>
      </c>
      <c r="E872" s="8" t="s">
        <v>600</v>
      </c>
      <c r="F872" s="8" t="s">
        <v>30</v>
      </c>
      <c r="G872" s="8" t="s">
        <v>32</v>
      </c>
      <c r="H872" s="8" t="s">
        <v>31</v>
      </c>
      <c r="I872" s="9" t="n">
        <v>0.176470588235294</v>
      </c>
      <c r="J872" s="8" t="s">
        <v>33</v>
      </c>
    </row>
    <row r="873" customFormat="false" ht="15" hidden="false" customHeight="false" outlineLevel="0" collapsed="false">
      <c r="A873" s="8" t="n">
        <v>14478</v>
      </c>
      <c r="B873" s="8" t="n">
        <v>199</v>
      </c>
      <c r="C873" s="8" t="str">
        <f aca="false">IFERROR(INDEX('Project Classifications'!$B$2:$B$231,MATCH(B873,'Project Classifications'!$A$2:$A$231,0)),"")</f>
        <v>Presidential Campaign Advertising in Chile, Brazil, and Peru</v>
      </c>
      <c r="D873" s="8" t="s">
        <v>1429</v>
      </c>
      <c r="E873" s="8" t="s">
        <v>562</v>
      </c>
      <c r="F873" s="8" t="s">
        <v>48</v>
      </c>
      <c r="G873" s="8" t="s">
        <v>50</v>
      </c>
      <c r="H873" s="8" t="s">
        <v>49</v>
      </c>
      <c r="I873" s="9" t="n">
        <v>0.125</v>
      </c>
      <c r="J873" s="8" t="s">
        <v>33</v>
      </c>
    </row>
    <row r="874" customFormat="false" ht="15" hidden="false" customHeight="false" outlineLevel="0" collapsed="false">
      <c r="A874" s="8" t="n">
        <v>14479</v>
      </c>
      <c r="B874" s="8" t="n">
        <v>199</v>
      </c>
      <c r="C874" s="8" t="str">
        <f aca="false">IFERROR(INDEX('Project Classifications'!$B$2:$B$231,MATCH(B874,'Project Classifications'!$A$2:$A$231,0)),"")</f>
        <v>Presidential Campaign Advertising in Chile, Brazil, and Peru</v>
      </c>
      <c r="D874" s="8" t="s">
        <v>1430</v>
      </c>
      <c r="E874" s="8" t="s">
        <v>600</v>
      </c>
      <c r="F874" s="8" t="s">
        <v>97</v>
      </c>
      <c r="G874" s="8" t="s">
        <v>99</v>
      </c>
      <c r="H874" s="8" t="s">
        <v>100</v>
      </c>
      <c r="I874" s="9" t="n">
        <v>0.142857142857143</v>
      </c>
      <c r="J874" s="8" t="s">
        <v>33</v>
      </c>
    </row>
    <row r="875" customFormat="false" ht="15" hidden="false" customHeight="false" outlineLevel="0" collapsed="false">
      <c r="A875" s="8" t="n">
        <v>14525</v>
      </c>
      <c r="B875" s="8" t="n">
        <v>199</v>
      </c>
      <c r="C875" s="8" t="str">
        <f aca="false">IFERROR(INDEX('Project Classifications'!$B$2:$B$231,MATCH(B875,'Project Classifications'!$A$2:$A$231,0)),"")</f>
        <v>Presidential Campaign Advertising in Chile, Brazil, and Peru</v>
      </c>
      <c r="D875" s="8" t="s">
        <v>1431</v>
      </c>
      <c r="E875" s="8" t="s">
        <v>574</v>
      </c>
      <c r="F875" s="8" t="s">
        <v>117</v>
      </c>
      <c r="G875" s="8" t="s">
        <v>119</v>
      </c>
      <c r="H875" s="8" t="s">
        <v>120</v>
      </c>
      <c r="I875" s="9" t="n">
        <v>0.25</v>
      </c>
      <c r="J875" s="8" t="s">
        <v>33</v>
      </c>
    </row>
    <row r="876" customFormat="false" ht="15" hidden="false" customHeight="false" outlineLevel="0" collapsed="false">
      <c r="A876" s="8" t="n">
        <v>14526</v>
      </c>
      <c r="B876" s="8" t="n">
        <v>200</v>
      </c>
      <c r="C876" s="8" t="str">
        <f aca="false">IFERROR(INDEX('Project Classifications'!$B$2:$B$231,MATCH(B876,'Project Classifications'!$A$2:$A$231,0)),"")</f>
        <v>Data for: Regional governance: The evolution of a new institutional form</v>
      </c>
      <c r="D876" s="8" t="s">
        <v>1432</v>
      </c>
      <c r="E876" s="8" t="s">
        <v>600</v>
      </c>
      <c r="F876" s="8" t="s">
        <v>305</v>
      </c>
      <c r="G876" s="8" t="s">
        <v>307</v>
      </c>
      <c r="H876" s="8" t="s">
        <v>306</v>
      </c>
      <c r="I876" s="9" t="n">
        <v>0</v>
      </c>
      <c r="J876" s="8" t="s">
        <v>33</v>
      </c>
    </row>
    <row r="877" customFormat="false" ht="15" hidden="false" customHeight="false" outlineLevel="0" collapsed="false">
      <c r="A877" s="8" t="n">
        <v>17506</v>
      </c>
      <c r="B877" s="8" t="n">
        <v>200</v>
      </c>
      <c r="C877" s="8" t="str">
        <f aca="false">IFERROR(INDEX('Project Classifications'!$B$2:$B$231,MATCH(B877,'Project Classifications'!$A$2:$A$231,0)),"")</f>
        <v>Data for: Regional governance: The evolution of a new institutional form</v>
      </c>
      <c r="D877" s="8" t="s">
        <v>1433</v>
      </c>
      <c r="E877" s="8" t="s">
        <v>574</v>
      </c>
      <c r="F877" s="8" t="s">
        <v>71</v>
      </c>
      <c r="G877" s="8" t="s">
        <v>493</v>
      </c>
      <c r="H877" s="8" t="s">
        <v>494</v>
      </c>
      <c r="I877" s="9" t="n">
        <v>1</v>
      </c>
      <c r="J877" s="8" t="s">
        <v>33</v>
      </c>
    </row>
    <row r="878" customFormat="false" ht="15" hidden="false" customHeight="false" outlineLevel="0" collapsed="false">
      <c r="A878" s="8" t="n">
        <v>17507</v>
      </c>
      <c r="B878" s="8" t="n">
        <v>200</v>
      </c>
      <c r="C878" s="8" t="str">
        <f aca="false">IFERROR(INDEX('Project Classifications'!$B$2:$B$231,MATCH(B878,'Project Classifications'!$A$2:$A$231,0)),"")</f>
        <v>Data for: Regional governance: The evolution of a new institutional form</v>
      </c>
      <c r="D878" s="8" t="s">
        <v>1434</v>
      </c>
      <c r="E878" s="8" t="s">
        <v>574</v>
      </c>
      <c r="F878" s="8" t="s">
        <v>53</v>
      </c>
      <c r="G878" s="8" t="s">
        <v>55</v>
      </c>
      <c r="H878" s="8" t="s">
        <v>56</v>
      </c>
      <c r="I878" s="9" t="n">
        <v>0.142857142857143</v>
      </c>
      <c r="J878" s="8" t="s">
        <v>33</v>
      </c>
    </row>
    <row r="879" customFormat="false" ht="15" hidden="false" customHeight="false" outlineLevel="0" collapsed="false">
      <c r="A879" s="8" t="n">
        <v>17515</v>
      </c>
      <c r="B879" s="8" t="n">
        <v>201</v>
      </c>
      <c r="C879" s="8" t="str">
        <f aca="false">IFERROR(INDEX('Project Classifications'!$B$2:$B$231,MATCH(B879,'Project Classifications'!$A$2:$A$231,0)),"")</f>
        <v>Data for: Nepal's Constitutional Development and the Challenges of Constitution Making</v>
      </c>
      <c r="D879" s="8" t="s">
        <v>1435</v>
      </c>
      <c r="E879" s="8" t="s">
        <v>574</v>
      </c>
      <c r="F879" s="8" t="s">
        <v>53</v>
      </c>
      <c r="G879" s="8" t="s">
        <v>55</v>
      </c>
      <c r="H879" s="8" t="s">
        <v>56</v>
      </c>
      <c r="I879" s="9" t="n">
        <v>0.285714285714286</v>
      </c>
      <c r="J879" s="8" t="s">
        <v>33</v>
      </c>
    </row>
    <row r="880" customFormat="false" ht="15" hidden="false" customHeight="false" outlineLevel="0" collapsed="false">
      <c r="A880" s="8" t="n">
        <v>17569</v>
      </c>
      <c r="B880" s="8" t="n">
        <v>202</v>
      </c>
      <c r="C880" s="8" t="str">
        <f aca="false">IFERROR(INDEX('Project Classifications'!$B$2:$B$231,MATCH(B880,'Project Classifications'!$A$2:$A$231,0)),"")</f>
        <v>Data for:  'A Directory of Cartographic Inventors' and 'Patents and Cartographic Inventions'</v>
      </c>
      <c r="D880" s="8" t="s">
        <v>1436</v>
      </c>
      <c r="E880" s="8" t="s">
        <v>574</v>
      </c>
      <c r="F880" s="8" t="s">
        <v>53</v>
      </c>
      <c r="G880" s="8" t="s">
        <v>55</v>
      </c>
      <c r="H880" s="8" t="s">
        <v>56</v>
      </c>
      <c r="I880" s="9" t="n">
        <v>0.285714285714286</v>
      </c>
      <c r="J880" s="8" t="s">
        <v>33</v>
      </c>
    </row>
    <row r="881" customFormat="false" ht="15" hidden="false" customHeight="false" outlineLevel="0" collapsed="false">
      <c r="A881" s="8" t="n">
        <v>17570</v>
      </c>
      <c r="B881" s="8" t="n">
        <v>203</v>
      </c>
      <c r="C881" s="8" t="str">
        <f aca="false">IFERROR(INDEX('Project Classifications'!$B$2:$B$231,MATCH(B881,'Project Classifications'!$A$2:$A$231,0)),"")</f>
        <v>Data for: Visual Regimes and the Politics of War Experience: Rewriting War ‘from above’ in WikiLeaks’ ‘Collateral Murder’</v>
      </c>
      <c r="D881" s="8" t="s">
        <v>653</v>
      </c>
      <c r="E881" s="8" t="s">
        <v>654</v>
      </c>
      <c r="F881" s="8" t="s">
        <v>53</v>
      </c>
      <c r="G881" s="8" t="s">
        <v>55</v>
      </c>
      <c r="H881" s="8" t="s">
        <v>56</v>
      </c>
      <c r="I881" s="9" t="n">
        <v>0.142857142857143</v>
      </c>
      <c r="J881" s="8" t="s">
        <v>33</v>
      </c>
    </row>
    <row r="882" customFormat="false" ht="15" hidden="false" customHeight="false" outlineLevel="0" collapsed="false">
      <c r="A882" s="8" t="n">
        <v>17571</v>
      </c>
      <c r="B882" s="8" t="n">
        <v>203</v>
      </c>
      <c r="C882" s="8" t="str">
        <f aca="false">IFERROR(INDEX('Project Classifications'!$B$2:$B$231,MATCH(B882,'Project Classifications'!$A$2:$A$231,0)),"")</f>
        <v>Data for: Visual Regimes and the Politics of War Experience: Rewriting War ‘from above’ in WikiLeaks’ ‘Collateral Murder’</v>
      </c>
      <c r="D882" s="8" t="s">
        <v>1437</v>
      </c>
      <c r="E882" s="8" t="s">
        <v>562</v>
      </c>
      <c r="F882" s="8" t="s">
        <v>53</v>
      </c>
      <c r="G882" s="8" t="s">
        <v>55</v>
      </c>
      <c r="H882" s="8" t="s">
        <v>56</v>
      </c>
      <c r="I882" s="9" t="n">
        <v>0.142857142857143</v>
      </c>
      <c r="J882" s="8" t="s">
        <v>33</v>
      </c>
    </row>
    <row r="883" customFormat="false" ht="15" hidden="false" customHeight="false" outlineLevel="0" collapsed="false">
      <c r="A883" s="8" t="n">
        <v>17572</v>
      </c>
      <c r="B883" s="8" t="n">
        <v>204</v>
      </c>
      <c r="C883" s="8" t="str">
        <f aca="false">IFERROR(INDEX('Project Classifications'!$B$2:$B$231,MATCH(B883,'Project Classifications'!$A$2:$A$231,0)),"")</f>
        <v>Data for: Covenants without the sword? Comparing prison self-governance globally</v>
      </c>
      <c r="D883" s="8" t="s">
        <v>653</v>
      </c>
      <c r="E883" s="8" t="s">
        <v>654</v>
      </c>
      <c r="F883" s="8" t="s">
        <v>30</v>
      </c>
      <c r="G883" s="8" t="s">
        <v>32</v>
      </c>
      <c r="H883" s="8" t="s">
        <v>31</v>
      </c>
      <c r="I883" s="9" t="n">
        <v>0.117647058823529</v>
      </c>
      <c r="J883" s="8" t="s">
        <v>33</v>
      </c>
    </row>
    <row r="884" customFormat="false" ht="15" hidden="false" customHeight="false" outlineLevel="0" collapsed="false">
      <c r="A884" s="8" t="n">
        <v>17573</v>
      </c>
      <c r="B884" s="8" t="n">
        <v>205</v>
      </c>
      <c r="C884" s="8" t="str">
        <f aca="false">IFERROR(INDEX('Project Classifications'!$B$2:$B$231,MATCH(B884,'Project Classifications'!$A$2:$A$231,0)),"")</f>
        <v>Data for: Making and Remaking Kenya's Constitution</v>
      </c>
      <c r="D884" s="8" t="s">
        <v>653</v>
      </c>
      <c r="E884" s="8" t="s">
        <v>654</v>
      </c>
      <c r="F884" s="8" t="s">
        <v>53</v>
      </c>
      <c r="G884" s="8" t="s">
        <v>55</v>
      </c>
      <c r="H884" s="8" t="s">
        <v>56</v>
      </c>
      <c r="I884" s="9" t="n">
        <v>0.142857142857143</v>
      </c>
      <c r="J884" s="8" t="s">
        <v>33</v>
      </c>
    </row>
    <row r="885" customFormat="false" ht="15" hidden="false" customHeight="false" outlineLevel="0" collapsed="false">
      <c r="A885" s="8" t="n">
        <v>17574</v>
      </c>
      <c r="B885" s="8" t="n">
        <v>206</v>
      </c>
      <c r="C885" s="8" t="str">
        <f aca="false">IFERROR(INDEX('Project Classifications'!$B$2:$B$231,MATCH(B885,'Project Classifications'!$A$2:$A$231,0)),"")</f>
        <v>Data for: Decisions, Deadlocks and Deadlines in Making South Africa's Constitution</v>
      </c>
      <c r="D885" s="8" t="s">
        <v>653</v>
      </c>
      <c r="E885" s="8" t="s">
        <v>654</v>
      </c>
      <c r="F885" s="8" t="s">
        <v>53</v>
      </c>
      <c r="G885" s="8" t="s">
        <v>55</v>
      </c>
      <c r="H885" s="8" t="s">
        <v>56</v>
      </c>
      <c r="I885" s="9" t="n">
        <v>0.142857142857143</v>
      </c>
      <c r="J885" s="8" t="s">
        <v>33</v>
      </c>
    </row>
    <row r="886" customFormat="false" ht="15" hidden="false" customHeight="false" outlineLevel="0" collapsed="false">
      <c r="A886" s="8" t="n">
        <v>17575</v>
      </c>
      <c r="B886" s="8" t="n">
        <v>207</v>
      </c>
      <c r="C886" s="8" t="str">
        <f aca="false">IFERROR(INDEX('Project Classifications'!$B$2:$B$231,MATCH(B886,'Project Classifications'!$A$2:$A$231,0)),"")</f>
        <v>Data for: Burundi: The Search for Constitutional Peace</v>
      </c>
      <c r="D886" s="8" t="s">
        <v>653</v>
      </c>
      <c r="E886" s="8" t="s">
        <v>654</v>
      </c>
      <c r="F886" s="8" t="s">
        <v>53</v>
      </c>
      <c r="G886" s="8" t="s">
        <v>55</v>
      </c>
      <c r="H886" s="8" t="s">
        <v>56</v>
      </c>
      <c r="I886" s="9" t="n">
        <v>0.142857142857143</v>
      </c>
      <c r="J886" s="8" t="s">
        <v>33</v>
      </c>
    </row>
    <row r="887" customFormat="false" ht="15" hidden="false" customHeight="false" outlineLevel="0" collapsed="false">
      <c r="A887" s="8" t="n">
        <v>17576</v>
      </c>
      <c r="B887" s="8" t="n">
        <v>208</v>
      </c>
      <c r="C887" s="8" t="str">
        <f aca="false">IFERROR(INDEX('Project Classifications'!$B$2:$B$231,MATCH(B887,'Project Classifications'!$A$2:$A$231,0)),"")</f>
        <v>Data for: The Constituent Process in Ecuador</v>
      </c>
      <c r="D887" s="8" t="s">
        <v>653</v>
      </c>
      <c r="E887" s="8" t="s">
        <v>654</v>
      </c>
      <c r="F887" s="8" t="s">
        <v>53</v>
      </c>
      <c r="G887" s="8" t="s">
        <v>55</v>
      </c>
      <c r="H887" s="8" t="s">
        <v>56</v>
      </c>
      <c r="I887" s="9" t="n">
        <v>0.142857142857143</v>
      </c>
      <c r="J887" s="8" t="s">
        <v>33</v>
      </c>
    </row>
    <row r="888" customFormat="false" ht="15" hidden="false" customHeight="false" outlineLevel="0" collapsed="false">
      <c r="A888" s="8" t="n">
        <v>17577</v>
      </c>
      <c r="B888" s="8" t="n">
        <v>208</v>
      </c>
      <c r="C888" s="8" t="str">
        <f aca="false">IFERROR(INDEX('Project Classifications'!$B$2:$B$231,MATCH(B888,'Project Classifications'!$A$2:$A$231,0)),"")</f>
        <v>Data for: The Constituent Process in Ecuador</v>
      </c>
      <c r="D888" s="8" t="s">
        <v>1438</v>
      </c>
      <c r="E888" s="8" t="s">
        <v>574</v>
      </c>
      <c r="F888" s="8" t="s">
        <v>53</v>
      </c>
      <c r="G888" s="8" t="s">
        <v>55</v>
      </c>
      <c r="H888" s="8" t="s">
        <v>56</v>
      </c>
      <c r="I888" s="9" t="n">
        <v>0.285714285714286</v>
      </c>
      <c r="J888" s="8" t="s">
        <v>33</v>
      </c>
    </row>
    <row r="889" customFormat="false" ht="15" hidden="false" customHeight="false" outlineLevel="0" collapsed="false">
      <c r="A889" s="8" t="n">
        <v>17612</v>
      </c>
      <c r="B889" s="8" t="n">
        <v>211</v>
      </c>
      <c r="C889" s="8" t="str">
        <f aca="false">IFERROR(INDEX('Project Classifications'!$B$2:$B$231,MATCH(B889,'Project Classifications'!$A$2:$A$231,0)),"")</f>
        <v>Data for: Makers of Our Own History: Upholding the Revolution and Unsettling Coloniality in the Drafting of Tunisia’s 2014 Constitution</v>
      </c>
      <c r="D889" s="8" t="s">
        <v>653</v>
      </c>
      <c r="E889" s="8" t="s">
        <v>654</v>
      </c>
      <c r="F889" s="8" t="s">
        <v>53</v>
      </c>
      <c r="G889" s="8" t="s">
        <v>55</v>
      </c>
      <c r="H889" s="8" t="s">
        <v>56</v>
      </c>
      <c r="I889" s="9" t="n">
        <v>0.142857142857143</v>
      </c>
      <c r="J889" s="8" t="s">
        <v>33</v>
      </c>
    </row>
    <row r="890" customFormat="false" ht="15" hidden="false" customHeight="false" outlineLevel="0" collapsed="false">
      <c r="A890" s="8" t="n">
        <v>17614</v>
      </c>
      <c r="B890" s="8" t="n">
        <v>211</v>
      </c>
      <c r="C890" s="8" t="str">
        <f aca="false">IFERROR(INDEX('Project Classifications'!$B$2:$B$231,MATCH(B890,'Project Classifications'!$A$2:$A$231,0)),"")</f>
        <v>Data for: Makers of Our Own History: Upholding the Revolution and Unsettling Coloniality in the Drafting of Tunisia’s 2014 Constitution</v>
      </c>
      <c r="D890" s="8" t="s">
        <v>1439</v>
      </c>
      <c r="E890" s="8" t="s">
        <v>574</v>
      </c>
      <c r="F890" s="8" t="s">
        <v>53</v>
      </c>
      <c r="G890" s="8" t="s">
        <v>55</v>
      </c>
      <c r="H890" s="8" t="s">
        <v>56</v>
      </c>
      <c r="I890" s="9" t="n">
        <v>0.285714285714286</v>
      </c>
      <c r="J890" s="8" t="s">
        <v>33</v>
      </c>
    </row>
    <row r="891" customFormat="false" ht="15" hidden="false" customHeight="false" outlineLevel="0" collapsed="false">
      <c r="A891" s="8" t="n">
        <v>17616</v>
      </c>
      <c r="B891" s="8" t="n">
        <v>213</v>
      </c>
      <c r="C891" s="8" t="str">
        <f aca="false">IFERROR(INDEX('Project Classifications'!$B$2:$B$231,MATCH(B891,'Project Classifications'!$A$2:$A$231,0)),"")</f>
        <v>Data for: Understanding Poverty, Food Insecurity, and Social Determinants’ Impact on Health Conditions: A Reflective, Experiential Approach for Medical Students</v>
      </c>
      <c r="D891" s="8" t="s">
        <v>1440</v>
      </c>
      <c r="E891" s="8" t="s">
        <v>562</v>
      </c>
      <c r="F891" s="8" t="s">
        <v>48</v>
      </c>
      <c r="G891" s="8" t="s">
        <v>50</v>
      </c>
      <c r="H891" s="8" t="s">
        <v>49</v>
      </c>
      <c r="I891" s="9" t="n">
        <v>0.25</v>
      </c>
      <c r="J891" s="8" t="s">
        <v>33</v>
      </c>
    </row>
    <row r="892" customFormat="false" ht="15" hidden="false" customHeight="false" outlineLevel="0" collapsed="false">
      <c r="A892" s="8" t="n">
        <v>17617</v>
      </c>
      <c r="B892" s="8" t="n">
        <v>213</v>
      </c>
      <c r="C892" s="8" t="str">
        <f aca="false">IFERROR(INDEX('Project Classifications'!$B$2:$B$231,MATCH(B892,'Project Classifications'!$A$2:$A$231,0)),"")</f>
        <v>Data for: Understanding Poverty, Food Insecurity, and Social Determinants’ Impact on Health Conditions: A Reflective, Experiential Approach for Medical Students</v>
      </c>
      <c r="D892" s="8" t="s">
        <v>1441</v>
      </c>
      <c r="E892" s="8" t="s">
        <v>562</v>
      </c>
      <c r="F892" s="8" t="s">
        <v>42</v>
      </c>
      <c r="G892" s="8" t="s">
        <v>44</v>
      </c>
      <c r="H892" s="8" t="s">
        <v>45</v>
      </c>
      <c r="I892" s="9" t="n">
        <v>0.333333333333333</v>
      </c>
      <c r="J892" s="8" t="s">
        <v>33</v>
      </c>
    </row>
    <row r="893" customFormat="false" ht="15" hidden="false" customHeight="false" outlineLevel="0" collapsed="false">
      <c r="A893" s="8" t="n">
        <v>17618</v>
      </c>
      <c r="B893" s="8" t="n">
        <v>213</v>
      </c>
      <c r="C893" s="8" t="str">
        <f aca="false">IFERROR(INDEX('Project Classifications'!$B$2:$B$231,MATCH(B893,'Project Classifications'!$A$2:$A$231,0)),"")</f>
        <v>Data for: Understanding Poverty, Food Insecurity, and Social Determinants’ Impact on Health Conditions: A Reflective, Experiential Approach for Medical Students</v>
      </c>
      <c r="D893" s="8" t="s">
        <v>1442</v>
      </c>
      <c r="E893" s="8" t="s">
        <v>562</v>
      </c>
      <c r="F893" s="8" t="s">
        <v>48</v>
      </c>
      <c r="G893" s="8" t="s">
        <v>50</v>
      </c>
      <c r="H893" s="8" t="s">
        <v>49</v>
      </c>
      <c r="I893" s="9" t="n">
        <v>0.125</v>
      </c>
      <c r="J893" s="8" t="s">
        <v>33</v>
      </c>
    </row>
    <row r="894" customFormat="false" ht="15" hidden="false" customHeight="false" outlineLevel="0" collapsed="false">
      <c r="A894" s="8" t="n">
        <v>17619</v>
      </c>
      <c r="B894" s="8" t="n">
        <v>213</v>
      </c>
      <c r="C894" s="8" t="str">
        <f aca="false">IFERROR(INDEX('Project Classifications'!$B$2:$B$231,MATCH(B894,'Project Classifications'!$A$2:$A$231,0)),"")</f>
        <v>Data for: Understanding Poverty, Food Insecurity, and Social Determinants’ Impact on Health Conditions: A Reflective, Experiential Approach for Medical Students</v>
      </c>
      <c r="D894" s="8" t="s">
        <v>1443</v>
      </c>
      <c r="E894" s="8" t="s">
        <v>562</v>
      </c>
      <c r="F894" s="8" t="s">
        <v>305</v>
      </c>
      <c r="G894" s="8" t="s">
        <v>307</v>
      </c>
      <c r="H894" s="8" t="s">
        <v>306</v>
      </c>
      <c r="I894" s="9" t="n">
        <v>0</v>
      </c>
      <c r="J894" s="8" t="s">
        <v>33</v>
      </c>
    </row>
    <row r="895" customFormat="false" ht="15" hidden="false" customHeight="false" outlineLevel="0" collapsed="false">
      <c r="A895" s="8" t="n">
        <v>17620</v>
      </c>
      <c r="B895" s="8" t="n">
        <v>213</v>
      </c>
      <c r="C895" s="8" t="str">
        <f aca="false">IFERROR(INDEX('Project Classifications'!$B$2:$B$231,MATCH(B895,'Project Classifications'!$A$2:$A$231,0)),"")</f>
        <v>Data for: Understanding Poverty, Food Insecurity, and Social Determinants’ Impact on Health Conditions: A Reflective, Experiential Approach for Medical Students</v>
      </c>
      <c r="D895" s="8" t="s">
        <v>1444</v>
      </c>
      <c r="E895" s="8" t="s">
        <v>562</v>
      </c>
      <c r="F895" s="8" t="s">
        <v>42</v>
      </c>
      <c r="G895" s="8" t="s">
        <v>44</v>
      </c>
      <c r="H895" s="8" t="s">
        <v>45</v>
      </c>
      <c r="I895" s="9" t="n">
        <v>0.222222222222222</v>
      </c>
      <c r="J895" s="8" t="s">
        <v>33</v>
      </c>
    </row>
    <row r="896" customFormat="false" ht="15" hidden="false" customHeight="false" outlineLevel="0" collapsed="false">
      <c r="A896" s="8" t="n">
        <v>17621</v>
      </c>
      <c r="B896" s="8" t="n">
        <v>213</v>
      </c>
      <c r="C896" s="8" t="str">
        <f aca="false">IFERROR(INDEX('Project Classifications'!$B$2:$B$231,MATCH(B896,'Project Classifications'!$A$2:$A$231,0)),"")</f>
        <v>Data for: Understanding Poverty, Food Insecurity, and Social Determinants’ Impact on Health Conditions: A Reflective, Experiential Approach for Medical Students</v>
      </c>
      <c r="D896" s="8" t="s">
        <v>1445</v>
      </c>
      <c r="E896" s="8" t="s">
        <v>562</v>
      </c>
      <c r="F896" s="8" t="s">
        <v>48</v>
      </c>
      <c r="G896" s="8" t="s">
        <v>50</v>
      </c>
      <c r="H896" s="8" t="s">
        <v>49</v>
      </c>
      <c r="I896" s="9" t="n">
        <v>0.3125</v>
      </c>
      <c r="J896" s="8" t="s">
        <v>33</v>
      </c>
    </row>
    <row r="897" customFormat="false" ht="15" hidden="false" customHeight="false" outlineLevel="0" collapsed="false">
      <c r="A897" s="8" t="n">
        <v>17622</v>
      </c>
      <c r="B897" s="8" t="n">
        <v>213</v>
      </c>
      <c r="C897" s="8" t="str">
        <f aca="false">IFERROR(INDEX('Project Classifications'!$B$2:$B$231,MATCH(B897,'Project Classifications'!$A$2:$A$231,0)),"")</f>
        <v>Data for: Understanding Poverty, Food Insecurity, and Social Determinants’ Impact on Health Conditions: A Reflective, Experiential Approach for Medical Students</v>
      </c>
      <c r="D897" s="8" t="s">
        <v>1446</v>
      </c>
      <c r="E897" s="8" t="s">
        <v>600</v>
      </c>
      <c r="F897" s="8" t="s">
        <v>42</v>
      </c>
      <c r="G897" s="8" t="s">
        <v>44</v>
      </c>
      <c r="H897" s="8" t="s">
        <v>45</v>
      </c>
      <c r="I897" s="9" t="n">
        <v>0.444444444444444</v>
      </c>
      <c r="J897" s="8" t="s">
        <v>33</v>
      </c>
    </row>
    <row r="898" customFormat="false" ht="15" hidden="false" customHeight="false" outlineLevel="0" collapsed="false">
      <c r="A898" s="8" t="n">
        <v>17623</v>
      </c>
      <c r="B898" s="8" t="n">
        <v>213</v>
      </c>
      <c r="C898" s="8" t="str">
        <f aca="false">IFERROR(INDEX('Project Classifications'!$B$2:$B$231,MATCH(B898,'Project Classifications'!$A$2:$A$231,0)),"")</f>
        <v>Data for: Understanding Poverty, Food Insecurity, and Social Determinants’ Impact on Health Conditions: A Reflective, Experiential Approach for Medical Students</v>
      </c>
      <c r="D898" s="8" t="s">
        <v>1447</v>
      </c>
      <c r="E898" s="8" t="s">
        <v>574</v>
      </c>
      <c r="F898" s="8" t="s">
        <v>53</v>
      </c>
      <c r="G898" s="8" t="s">
        <v>55</v>
      </c>
      <c r="H898" s="8" t="s">
        <v>56</v>
      </c>
      <c r="I898" s="9" t="n">
        <v>0.285714285714286</v>
      </c>
      <c r="J898" s="8" t="s">
        <v>33</v>
      </c>
    </row>
    <row r="899" customFormat="false" ht="15" hidden="false" customHeight="false" outlineLevel="0" collapsed="false">
      <c r="A899" s="8" t="n">
        <v>17624</v>
      </c>
      <c r="B899" s="8" t="n">
        <v>214</v>
      </c>
      <c r="C899" s="8" t="str">
        <f aca="false">IFERROR(INDEX('Project Classifications'!$B$2:$B$231,MATCH(B899,'Project Classifications'!$A$2:$A$231,0)),"")</f>
        <v>French Cold War Documents</v>
      </c>
      <c r="D899" s="8" t="s">
        <v>1448</v>
      </c>
      <c r="E899" s="8" t="s">
        <v>574</v>
      </c>
      <c r="F899" s="8" t="s">
        <v>53</v>
      </c>
      <c r="G899" s="8" t="s">
        <v>55</v>
      </c>
      <c r="H899" s="8" t="s">
        <v>56</v>
      </c>
      <c r="I899" s="9" t="n">
        <v>0.285714285714286</v>
      </c>
      <c r="J899" s="8" t="s">
        <v>33</v>
      </c>
    </row>
    <row r="900" customFormat="false" ht="15" hidden="false" customHeight="false" outlineLevel="0" collapsed="false">
      <c r="A900" s="8" t="n">
        <v>17783</v>
      </c>
      <c r="B900" s="8" t="n">
        <v>214</v>
      </c>
      <c r="C900" s="8" t="str">
        <f aca="false">IFERROR(INDEX('Project Classifications'!$B$2:$B$231,MATCH(B900,'Project Classifications'!$A$2:$A$231,0)),"")</f>
        <v>French Cold War Documents</v>
      </c>
      <c r="D900" s="8" t="s">
        <v>1449</v>
      </c>
      <c r="E900" s="8" t="s">
        <v>600</v>
      </c>
      <c r="F900" s="8" t="s">
        <v>36</v>
      </c>
      <c r="G900" s="8" t="s">
        <v>421</v>
      </c>
      <c r="H900" s="8" t="s">
        <v>422</v>
      </c>
      <c r="I900" s="9" t="n">
        <v>0.166666666666667</v>
      </c>
      <c r="J900" s="8" t="s">
        <v>33</v>
      </c>
    </row>
    <row r="901" customFormat="false" ht="15" hidden="false" customHeight="false" outlineLevel="0" collapsed="false">
      <c r="A901" s="8" t="n">
        <v>17784</v>
      </c>
      <c r="B901" s="8" t="n">
        <v>215</v>
      </c>
      <c r="C901" s="8" t="str">
        <f aca="false">IFERROR(INDEX('Project Classifications'!$B$2:$B$231,MATCH(B901,'Project Classifications'!$A$2:$A$231,0)),"")</f>
        <v>British Cold War Documents</v>
      </c>
      <c r="D901" s="8" t="s">
        <v>1450</v>
      </c>
      <c r="E901" s="8" t="s">
        <v>574</v>
      </c>
      <c r="F901" s="8" t="s">
        <v>53</v>
      </c>
      <c r="G901" s="8" t="s">
        <v>55</v>
      </c>
      <c r="H901" s="8" t="s">
        <v>56</v>
      </c>
      <c r="I901" s="9" t="n">
        <v>0.142857142857143</v>
      </c>
      <c r="J901" s="8" t="s">
        <v>33</v>
      </c>
    </row>
    <row r="902" customFormat="false" ht="15" hidden="false" customHeight="false" outlineLevel="0" collapsed="false">
      <c r="A902" s="8" t="n">
        <v>18100</v>
      </c>
      <c r="B902" s="8" t="n">
        <v>215</v>
      </c>
      <c r="C902" s="8" t="str">
        <f aca="false">IFERROR(INDEX('Project Classifications'!$B$2:$B$231,MATCH(B902,'Project Classifications'!$A$2:$A$231,0)),"")</f>
        <v>British Cold War Documents</v>
      </c>
      <c r="D902" s="8" t="s">
        <v>1451</v>
      </c>
      <c r="E902" s="8" t="s">
        <v>600</v>
      </c>
      <c r="F902" s="8" t="s">
        <v>36</v>
      </c>
      <c r="G902" s="8" t="s">
        <v>421</v>
      </c>
      <c r="H902" s="8" t="s">
        <v>422</v>
      </c>
      <c r="I902" s="9" t="n">
        <v>0.166666666666667</v>
      </c>
      <c r="J902" s="8" t="s">
        <v>33</v>
      </c>
    </row>
    <row r="903" customFormat="false" ht="15" hidden="false" customHeight="false" outlineLevel="0" collapsed="false">
      <c r="A903" s="8" t="n">
        <v>18101</v>
      </c>
      <c r="B903" s="8" t="n">
        <v>216</v>
      </c>
      <c r="C903" s="8" t="str">
        <f aca="false">IFERROR(INDEX('Project Classifications'!$B$2:$B$231,MATCH(B903,'Project Classifications'!$A$2:$A$231,0)),"")</f>
        <v>Data for: Kosovo’s Independence Constitution: A Unilateral Commitment to an Internationalized Pouvoir Constituant</v>
      </c>
      <c r="D903" s="8" t="s">
        <v>653</v>
      </c>
      <c r="E903" s="8" t="s">
        <v>654</v>
      </c>
      <c r="F903" s="8" t="s">
        <v>36</v>
      </c>
      <c r="G903" s="8" t="s">
        <v>38</v>
      </c>
      <c r="H903" s="8" t="s">
        <v>39</v>
      </c>
      <c r="I903" s="9" t="n">
        <v>0.25</v>
      </c>
      <c r="J903" s="8" t="s">
        <v>33</v>
      </c>
    </row>
    <row r="904" customFormat="false" ht="15" hidden="false" customHeight="false" outlineLevel="0" collapsed="false">
      <c r="A904" s="8" t="n">
        <v>18115</v>
      </c>
      <c r="B904" s="8" t="n">
        <v>216</v>
      </c>
      <c r="C904" s="8" t="str">
        <f aca="false">IFERROR(INDEX('Project Classifications'!$B$2:$B$231,MATCH(B904,'Project Classifications'!$A$2:$A$231,0)),"")</f>
        <v>Data for: Kosovo’s Independence Constitution: A Unilateral Commitment to an Internationalized Pouvoir Constituant</v>
      </c>
      <c r="D904" s="8" t="s">
        <v>1452</v>
      </c>
      <c r="E904" s="8" t="s">
        <v>574</v>
      </c>
      <c r="F904" s="8" t="s">
        <v>53</v>
      </c>
      <c r="G904" s="8" t="s">
        <v>55</v>
      </c>
      <c r="H904" s="8" t="s">
        <v>56</v>
      </c>
      <c r="I904" s="9" t="n">
        <v>0.285714285714286</v>
      </c>
      <c r="J904" s="8" t="s">
        <v>33</v>
      </c>
    </row>
    <row r="905" customFormat="false" ht="15" hidden="false" customHeight="false" outlineLevel="0" collapsed="false">
      <c r="A905" s="8" t="n">
        <v>18116</v>
      </c>
      <c r="B905" s="8" t="n">
        <v>217</v>
      </c>
      <c r="C905" s="8" t="str">
        <f aca="false">IFERROR(INDEX('Project Classifications'!$B$2:$B$231,MATCH(B905,'Project Classifications'!$A$2:$A$231,0)),"")</f>
        <v>Data for: The Territorial Expansion of the Colonial State: Evidence from German East Africa 1890–1909</v>
      </c>
      <c r="D905" s="8" t="s">
        <v>653</v>
      </c>
      <c r="E905" s="8" t="s">
        <v>654</v>
      </c>
      <c r="F905" s="8" t="s">
        <v>53</v>
      </c>
      <c r="G905" s="8" t="s">
        <v>55</v>
      </c>
      <c r="H905" s="8" t="s">
        <v>56</v>
      </c>
      <c r="I905" s="9" t="n">
        <v>0.142857142857143</v>
      </c>
      <c r="J905" s="8" t="s">
        <v>33</v>
      </c>
    </row>
    <row r="906" customFormat="false" ht="15" hidden="false" customHeight="false" outlineLevel="0" collapsed="false">
      <c r="A906" s="8" t="n">
        <v>18117</v>
      </c>
      <c r="B906" s="8" t="n">
        <v>217</v>
      </c>
      <c r="C906" s="8" t="str">
        <f aca="false">IFERROR(INDEX('Project Classifications'!$B$2:$B$231,MATCH(B906,'Project Classifications'!$A$2:$A$231,0)),"")</f>
        <v>Data for: The Territorial Expansion of the Colonial State: Evidence from German East Africa 1890–1909</v>
      </c>
      <c r="D906" s="8" t="s">
        <v>1453</v>
      </c>
      <c r="E906" s="8" t="s">
        <v>562</v>
      </c>
      <c r="F906" s="8" t="s">
        <v>36</v>
      </c>
      <c r="G906" s="8" t="s">
        <v>38</v>
      </c>
      <c r="H906" s="8" t="s">
        <v>39</v>
      </c>
      <c r="I906" s="9" t="n">
        <v>0.375</v>
      </c>
      <c r="J906" s="8" t="s">
        <v>33</v>
      </c>
    </row>
    <row r="907" customFormat="false" ht="15" hidden="false" customHeight="false" outlineLevel="0" collapsed="false">
      <c r="A907" s="8" t="n">
        <v>18121</v>
      </c>
      <c r="B907" s="8" t="n">
        <v>218</v>
      </c>
      <c r="C907" s="8" t="str">
        <f aca="false">IFERROR(INDEX('Project Classifications'!$B$2:$B$231,MATCH(B907,'Project Classifications'!$A$2:$A$231,0)),"")</f>
        <v>Data for: Defending hierarchy from the Moon to the Indian Ocean: Symbolic capital and political dominance in early modern China and the Cold War</v>
      </c>
      <c r="D907" s="8" t="s">
        <v>653</v>
      </c>
      <c r="E907" s="8" t="s">
        <v>654</v>
      </c>
      <c r="F907" s="8" t="s">
        <v>53</v>
      </c>
      <c r="G907" s="8" t="s">
        <v>1454</v>
      </c>
      <c r="H907" s="8" t="s">
        <v>1455</v>
      </c>
      <c r="I907" s="9" t="n">
        <v>0.5</v>
      </c>
      <c r="J907" s="8" t="s">
        <v>33</v>
      </c>
    </row>
    <row r="908" customFormat="false" ht="15" hidden="false" customHeight="false" outlineLevel="0" collapsed="false">
      <c r="A908" s="8" t="n">
        <v>18124</v>
      </c>
      <c r="B908" s="8" t="n">
        <v>218</v>
      </c>
      <c r="C908" s="8" t="str">
        <f aca="false">IFERROR(INDEX('Project Classifications'!$B$2:$B$231,MATCH(B908,'Project Classifications'!$A$2:$A$231,0)),"")</f>
        <v>Data for: Defending hierarchy from the Moon to the Indian Ocean: Symbolic capital and political dominance in early modern China and the Cold War</v>
      </c>
      <c r="D908" s="8" t="s">
        <v>1456</v>
      </c>
      <c r="E908" s="8" t="s">
        <v>562</v>
      </c>
      <c r="F908" s="8" t="s">
        <v>48</v>
      </c>
      <c r="G908" s="8" t="s">
        <v>50</v>
      </c>
      <c r="H908" s="8" t="s">
        <v>49</v>
      </c>
      <c r="I908" s="9" t="n">
        <v>0.125</v>
      </c>
      <c r="J908" s="8" t="s">
        <v>33</v>
      </c>
    </row>
    <row r="909" customFormat="false" ht="15" hidden="false" customHeight="false" outlineLevel="0" collapsed="false">
      <c r="A909" s="8" t="n">
        <v>18129</v>
      </c>
      <c r="B909" s="8" t="n">
        <v>218</v>
      </c>
      <c r="C909" s="8" t="str">
        <f aca="false">IFERROR(INDEX('Project Classifications'!$B$2:$B$231,MATCH(B909,'Project Classifications'!$A$2:$A$231,0)),"")</f>
        <v>Data for: Defending hierarchy from the Moon to the Indian Ocean: Symbolic capital and political dominance in early modern China and the Cold War</v>
      </c>
      <c r="D909" s="8" t="s">
        <v>1457</v>
      </c>
      <c r="E909" s="8" t="s">
        <v>562</v>
      </c>
      <c r="F909" s="8" t="s">
        <v>117</v>
      </c>
      <c r="G909" s="8" t="s">
        <v>577</v>
      </c>
      <c r="H909" s="8" t="s">
        <v>578</v>
      </c>
      <c r="I909" s="9" t="n">
        <v>0.333333333333333</v>
      </c>
      <c r="J909" s="8" t="s">
        <v>33</v>
      </c>
    </row>
    <row r="910" customFormat="false" ht="15" hidden="false" customHeight="false" outlineLevel="0" collapsed="false">
      <c r="A910" s="8" t="n">
        <v>18315</v>
      </c>
      <c r="B910" s="8" t="n">
        <v>219</v>
      </c>
      <c r="C910" s="8" t="str">
        <f aca="false">IFERROR(INDEX('Project Classifications'!$B$2:$B$231,MATCH(B910,'Project Classifications'!$A$2:$A$231,0)),"")</f>
        <v>Replication Data for: Inconsistency and Indecision in the United States Supreme Court</v>
      </c>
      <c r="D910" s="8" t="s">
        <v>1458</v>
      </c>
      <c r="E910" s="8" t="s">
        <v>574</v>
      </c>
      <c r="F910" s="8" t="s">
        <v>53</v>
      </c>
      <c r="G910" s="8" t="s">
        <v>55</v>
      </c>
      <c r="H910" s="8" t="s">
        <v>56</v>
      </c>
      <c r="I910" s="9" t="n">
        <v>0.142857142857143</v>
      </c>
      <c r="J910" s="8" t="s">
        <v>33</v>
      </c>
    </row>
    <row r="911" customFormat="false" ht="15" hidden="false" customHeight="false" outlineLevel="0" collapsed="false">
      <c r="A911" s="8" t="n">
        <v>18425</v>
      </c>
      <c r="B911" s="8" t="n">
        <v>220</v>
      </c>
      <c r="C911" s="8" t="str">
        <f aca="false">IFERROR(INDEX('Project Classifications'!$B$2:$B$231,MATCH(B911,'Project Classifications'!$A$2:$A$231,0)),"")</f>
        <v>Data for: Shifting Legal Visions: Judicial Change and Human Rights Trials in Latin America</v>
      </c>
      <c r="D911" s="8" t="s">
        <v>1459</v>
      </c>
      <c r="E911" s="8" t="s">
        <v>600</v>
      </c>
      <c r="F911" s="8" t="s">
        <v>305</v>
      </c>
      <c r="G911" s="8" t="s">
        <v>307</v>
      </c>
      <c r="H911" s="8" t="s">
        <v>306</v>
      </c>
      <c r="I911" s="9" t="n">
        <v>0</v>
      </c>
      <c r="J911" s="8" t="s">
        <v>33</v>
      </c>
    </row>
    <row r="912" customFormat="false" ht="15" hidden="false" customHeight="false" outlineLevel="0" collapsed="false">
      <c r="A912" s="8" t="n">
        <v>18426</v>
      </c>
      <c r="B912" s="8" t="n">
        <v>220</v>
      </c>
      <c r="C912" s="8" t="str">
        <f aca="false">IFERROR(INDEX('Project Classifications'!$B$2:$B$231,MATCH(B912,'Project Classifications'!$A$2:$A$231,0)),"")</f>
        <v>Data for: Shifting Legal Visions: Judicial Change and Human Rights Trials in Latin America</v>
      </c>
      <c r="D912" s="8" t="s">
        <v>1460</v>
      </c>
      <c r="E912" s="8" t="s">
        <v>600</v>
      </c>
      <c r="F912" s="8" t="s">
        <v>305</v>
      </c>
      <c r="G912" s="8" t="s">
        <v>307</v>
      </c>
      <c r="H912" s="8" t="s">
        <v>306</v>
      </c>
      <c r="I912" s="9" t="n">
        <v>0</v>
      </c>
      <c r="J912" s="8" t="s">
        <v>33</v>
      </c>
    </row>
    <row r="913" customFormat="false" ht="15" hidden="false" customHeight="false" outlineLevel="0" collapsed="false">
      <c r="A913" s="8" t="n">
        <v>18427</v>
      </c>
      <c r="B913" s="8" t="n">
        <v>220</v>
      </c>
      <c r="C913" s="8" t="str">
        <f aca="false">IFERROR(INDEX('Project Classifications'!$B$2:$B$231,MATCH(B913,'Project Classifications'!$A$2:$A$231,0)),"")</f>
        <v>Data for: Shifting Legal Visions: Judicial Change and Human Rights Trials in Latin America</v>
      </c>
      <c r="D913" s="8" t="s">
        <v>1461</v>
      </c>
      <c r="E913" s="8" t="s">
        <v>600</v>
      </c>
      <c r="F913" s="8" t="s">
        <v>305</v>
      </c>
      <c r="G913" s="8" t="s">
        <v>307</v>
      </c>
      <c r="H913" s="8" t="s">
        <v>306</v>
      </c>
      <c r="I913" s="9" t="n">
        <v>0</v>
      </c>
      <c r="J913" s="8" t="s">
        <v>33</v>
      </c>
    </row>
    <row r="914" customFormat="false" ht="15" hidden="false" customHeight="false" outlineLevel="0" collapsed="false">
      <c r="A914" s="8" t="n">
        <v>18428</v>
      </c>
      <c r="B914" s="8" t="n">
        <v>220</v>
      </c>
      <c r="C914" s="8" t="str">
        <f aca="false">IFERROR(INDEX('Project Classifications'!$B$2:$B$231,MATCH(B914,'Project Classifications'!$A$2:$A$231,0)),"")</f>
        <v>Data for: Shifting Legal Visions: Judicial Change and Human Rights Trials in Latin America</v>
      </c>
      <c r="D914" s="8" t="s">
        <v>1462</v>
      </c>
      <c r="E914" s="8" t="s">
        <v>574</v>
      </c>
      <c r="F914" s="8" t="s">
        <v>53</v>
      </c>
      <c r="G914" s="8" t="s">
        <v>55</v>
      </c>
      <c r="H914" s="8" t="s">
        <v>56</v>
      </c>
      <c r="I914" s="9" t="n">
        <v>0.142857142857143</v>
      </c>
      <c r="J914" s="8" t="s">
        <v>33</v>
      </c>
    </row>
    <row r="915" customFormat="false" ht="15" hidden="false" customHeight="false" outlineLevel="0" collapsed="false">
      <c r="A915" s="8" t="n">
        <v>18429</v>
      </c>
      <c r="B915" s="8" t="n">
        <v>221</v>
      </c>
      <c r="C915" s="8" t="str">
        <f aca="false">IFERROR(INDEX('Project Classifications'!$B$2:$B$231,MATCH(B915,'Project Classifications'!$A$2:$A$231,0)),"")</f>
        <v>A Constructed Peace: Appendices</v>
      </c>
      <c r="D915" s="8" t="s">
        <v>1463</v>
      </c>
      <c r="E915" s="8" t="s">
        <v>574</v>
      </c>
      <c r="F915" s="8" t="s">
        <v>53</v>
      </c>
      <c r="G915" s="8" t="s">
        <v>55</v>
      </c>
      <c r="H915" s="8" t="s">
        <v>56</v>
      </c>
      <c r="I915" s="9" t="n">
        <v>0.285714285714286</v>
      </c>
      <c r="J915" s="8" t="s">
        <v>33</v>
      </c>
    </row>
    <row r="916" customFormat="false" ht="15" hidden="false" customHeight="false" outlineLevel="0" collapsed="false">
      <c r="A916" s="8" t="n">
        <v>18438</v>
      </c>
      <c r="B916" s="8" t="n">
        <v>221</v>
      </c>
      <c r="C916" s="8" t="str">
        <f aca="false">IFERROR(INDEX('Project Classifications'!$B$2:$B$231,MATCH(B916,'Project Classifications'!$A$2:$A$231,0)),"")</f>
        <v>A Constructed Peace: Appendices</v>
      </c>
      <c r="D916" s="8" t="s">
        <v>1464</v>
      </c>
      <c r="E916" s="8" t="s">
        <v>600</v>
      </c>
      <c r="F916" s="8" t="s">
        <v>305</v>
      </c>
      <c r="G916" s="8" t="s">
        <v>307</v>
      </c>
      <c r="H916" s="8" t="s">
        <v>306</v>
      </c>
      <c r="I916" s="9" t="n">
        <v>0</v>
      </c>
      <c r="J916" s="8" t="s">
        <v>33</v>
      </c>
    </row>
    <row r="917" customFormat="false" ht="15" hidden="false" customHeight="false" outlineLevel="0" collapsed="false">
      <c r="A917" s="8" t="n">
        <v>18439</v>
      </c>
      <c r="B917" s="8" t="n">
        <v>222</v>
      </c>
      <c r="C917" s="8" t="str">
        <f aca="false">IFERROR(INDEX('Project Classifications'!$B$2:$B$231,MATCH(B917,'Project Classifications'!$A$2:$A$231,0)),"")</f>
        <v>Data for: Development of a Preoperative Questionnaire to Improve Satisfaction with Hallux Valgus Repair: a Delphi Study</v>
      </c>
      <c r="D917" s="8" t="s">
        <v>1465</v>
      </c>
      <c r="E917" s="8" t="s">
        <v>562</v>
      </c>
      <c r="F917" s="8" t="s">
        <v>305</v>
      </c>
      <c r="G917" s="8" t="s">
        <v>307</v>
      </c>
      <c r="H917" s="8" t="s">
        <v>306</v>
      </c>
      <c r="I917" s="9" t="n">
        <v>0</v>
      </c>
      <c r="J917" s="8" t="s">
        <v>33</v>
      </c>
    </row>
    <row r="918" customFormat="false" ht="15" hidden="false" customHeight="false" outlineLevel="0" collapsed="false">
      <c r="A918" s="8" t="n">
        <v>18440</v>
      </c>
      <c r="B918" s="8" t="n">
        <v>222</v>
      </c>
      <c r="C918" s="8" t="str">
        <f aca="false">IFERROR(INDEX('Project Classifications'!$B$2:$B$231,MATCH(B918,'Project Classifications'!$A$2:$A$231,0)),"")</f>
        <v>Data for: Development of a Preoperative Questionnaire to Improve Satisfaction with Hallux Valgus Repair: a Delphi Study</v>
      </c>
      <c r="D918" s="8" t="s">
        <v>1466</v>
      </c>
      <c r="E918" s="8" t="s">
        <v>562</v>
      </c>
      <c r="F918" s="8" t="s">
        <v>42</v>
      </c>
      <c r="G918" s="8" t="s">
        <v>44</v>
      </c>
      <c r="H918" s="8" t="s">
        <v>45</v>
      </c>
      <c r="I918" s="9" t="n">
        <v>0.111111111111111</v>
      </c>
      <c r="J918" s="8" t="s">
        <v>33</v>
      </c>
    </row>
    <row r="919" customFormat="false" ht="15" hidden="false" customHeight="false" outlineLevel="0" collapsed="false">
      <c r="A919" s="8" t="n">
        <v>18441</v>
      </c>
      <c r="B919" s="8" t="n">
        <v>222</v>
      </c>
      <c r="C919" s="8" t="str">
        <f aca="false">IFERROR(INDEX('Project Classifications'!$B$2:$B$231,MATCH(B919,'Project Classifications'!$A$2:$A$231,0)),"")</f>
        <v>Data for: Development of a Preoperative Questionnaire to Improve Satisfaction with Hallux Valgus Repair: a Delphi Study</v>
      </c>
      <c r="D919" s="8" t="s">
        <v>1467</v>
      </c>
      <c r="E919" s="8" t="s">
        <v>562</v>
      </c>
      <c r="F919" s="8" t="s">
        <v>36</v>
      </c>
      <c r="G919" s="8" t="s">
        <v>980</v>
      </c>
      <c r="H919" s="8" t="s">
        <v>981</v>
      </c>
      <c r="I919" s="9" t="n">
        <v>0.2</v>
      </c>
      <c r="J919" s="8" t="s">
        <v>33</v>
      </c>
    </row>
    <row r="920" customFormat="false" ht="15" hidden="false" customHeight="false" outlineLevel="0" collapsed="false">
      <c r="A920" s="8" t="n">
        <v>18442</v>
      </c>
      <c r="B920" s="8" t="n">
        <v>222</v>
      </c>
      <c r="C920" s="8" t="str">
        <f aca="false">IFERROR(INDEX('Project Classifications'!$B$2:$B$231,MATCH(B920,'Project Classifications'!$A$2:$A$231,0)),"")</f>
        <v>Data for: Development of a Preoperative Questionnaire to Improve Satisfaction with Hallux Valgus Repair: a Delphi Study</v>
      </c>
      <c r="D920" s="8" t="s">
        <v>1468</v>
      </c>
      <c r="E920" s="8" t="s">
        <v>562</v>
      </c>
      <c r="F920" s="8" t="s">
        <v>305</v>
      </c>
      <c r="G920" s="8" t="s">
        <v>307</v>
      </c>
      <c r="H920" s="8" t="s">
        <v>306</v>
      </c>
      <c r="I920" s="9" t="n">
        <v>0</v>
      </c>
      <c r="J920" s="8" t="s">
        <v>33</v>
      </c>
    </row>
    <row r="921" customFormat="false" ht="15" hidden="false" customHeight="false" outlineLevel="0" collapsed="false">
      <c r="A921" s="8" t="n">
        <v>18443</v>
      </c>
      <c r="B921" s="8" t="n">
        <v>222</v>
      </c>
      <c r="C921" s="8" t="str">
        <f aca="false">IFERROR(INDEX('Project Classifications'!$B$2:$B$231,MATCH(B921,'Project Classifications'!$A$2:$A$231,0)),"")</f>
        <v>Data for: Development of a Preoperative Questionnaire to Improve Satisfaction with Hallux Valgus Repair: a Delphi Study</v>
      </c>
      <c r="D921" s="8" t="s">
        <v>1469</v>
      </c>
      <c r="E921" s="8" t="s">
        <v>562</v>
      </c>
      <c r="F921" s="8" t="s">
        <v>36</v>
      </c>
      <c r="G921" s="8" t="s">
        <v>980</v>
      </c>
      <c r="H921" s="8" t="s">
        <v>981</v>
      </c>
      <c r="I921" s="9" t="n">
        <v>0.2</v>
      </c>
      <c r="J921" s="8" t="s">
        <v>33</v>
      </c>
    </row>
    <row r="922" customFormat="false" ht="15" hidden="false" customHeight="false" outlineLevel="0" collapsed="false">
      <c r="A922" s="8" t="n">
        <v>18448</v>
      </c>
      <c r="B922" s="8" t="n">
        <v>222</v>
      </c>
      <c r="C922" s="8" t="str">
        <f aca="false">IFERROR(INDEX('Project Classifications'!$B$2:$B$231,MATCH(B922,'Project Classifications'!$A$2:$A$231,0)),"")</f>
        <v>Data for: Development of a Preoperative Questionnaire to Improve Satisfaction with Hallux Valgus Repair: a Delphi Study</v>
      </c>
      <c r="D922" s="8" t="s">
        <v>1470</v>
      </c>
      <c r="E922" s="8" t="s">
        <v>574</v>
      </c>
      <c r="F922" s="8" t="s">
        <v>53</v>
      </c>
      <c r="G922" s="8" t="s">
        <v>55</v>
      </c>
      <c r="H922" s="8" t="s">
        <v>56</v>
      </c>
      <c r="I922" s="9" t="n">
        <v>0.285714285714286</v>
      </c>
      <c r="J922" s="8" t="s">
        <v>33</v>
      </c>
    </row>
    <row r="923" customFormat="false" ht="15" hidden="false" customHeight="false" outlineLevel="0" collapsed="false">
      <c r="A923" s="8" t="n">
        <v>18449</v>
      </c>
      <c r="B923" s="8" t="n">
        <v>223</v>
      </c>
      <c r="C923" s="8" t="str">
        <f aca="false">IFERROR(INDEX('Project Classifications'!$B$2:$B$231,MATCH(B923,'Project Classifications'!$A$2:$A$231,0)),"")</f>
        <v>United States Cold War Documents</v>
      </c>
      <c r="D923" s="8" t="s">
        <v>1471</v>
      </c>
      <c r="E923" s="8" t="s">
        <v>574</v>
      </c>
      <c r="F923" s="8" t="s">
        <v>53</v>
      </c>
      <c r="G923" s="8" t="s">
        <v>55</v>
      </c>
      <c r="H923" s="8" t="s">
        <v>56</v>
      </c>
      <c r="I923" s="9" t="n">
        <v>0.142857142857143</v>
      </c>
      <c r="J923" s="8" t="s">
        <v>33</v>
      </c>
    </row>
    <row r="924" customFormat="false" ht="15" hidden="false" customHeight="false" outlineLevel="0" collapsed="false">
      <c r="A924" s="8" t="n">
        <v>19494</v>
      </c>
      <c r="B924" s="8" t="n">
        <v>223</v>
      </c>
      <c r="C924" s="8" t="str">
        <f aca="false">IFERROR(INDEX('Project Classifications'!$B$2:$B$231,MATCH(B924,'Project Classifications'!$A$2:$A$231,0)),"")</f>
        <v>United States Cold War Documents</v>
      </c>
      <c r="D924" s="8" t="s">
        <v>1472</v>
      </c>
      <c r="E924" s="8" t="s">
        <v>562</v>
      </c>
      <c r="F924" s="8" t="s">
        <v>305</v>
      </c>
      <c r="G924" s="8" t="s">
        <v>307</v>
      </c>
      <c r="H924" s="8" t="s">
        <v>306</v>
      </c>
      <c r="I924" s="9" t="n">
        <v>0</v>
      </c>
      <c r="J924" s="8" t="s">
        <v>33</v>
      </c>
    </row>
    <row r="925" customFormat="false" ht="15" hidden="false" customHeight="false" outlineLevel="0" collapsed="false">
      <c r="A925" s="8" t="n">
        <v>19980</v>
      </c>
      <c r="B925" s="8" t="n">
        <v>223</v>
      </c>
      <c r="C925" s="8" t="str">
        <f aca="false">IFERROR(INDEX('Project Classifications'!$B$2:$B$231,MATCH(B925,'Project Classifications'!$A$2:$A$231,0)),"")</f>
        <v>United States Cold War Documents</v>
      </c>
      <c r="D925" s="8" t="s">
        <v>1473</v>
      </c>
      <c r="E925" s="8" t="s">
        <v>600</v>
      </c>
      <c r="F925" s="8" t="s">
        <v>36</v>
      </c>
      <c r="G925" s="8" t="s">
        <v>38</v>
      </c>
      <c r="H925" s="8" t="s">
        <v>39</v>
      </c>
      <c r="I925" s="9" t="n">
        <v>0.25</v>
      </c>
      <c r="J925" s="8" t="s">
        <v>33</v>
      </c>
    </row>
    <row r="926" customFormat="false" ht="15" hidden="false" customHeight="false" outlineLevel="0" collapsed="false">
      <c r="A926" s="8" t="n">
        <v>19981</v>
      </c>
      <c r="B926" s="8" t="n">
        <v>224</v>
      </c>
      <c r="C926" s="8" t="str">
        <f aca="false">IFERROR(INDEX('Project Classifications'!$B$2:$B$231,MATCH(B926,'Project Classifications'!$A$2:$A$231,0)),"")</f>
        <v>Data for: Authoritarian Apprehensions: Ideology, Judgment, and Mourning in Syria</v>
      </c>
      <c r="D926" s="8" t="s">
        <v>1474</v>
      </c>
      <c r="E926" s="8" t="s">
        <v>574</v>
      </c>
      <c r="F926" s="8" t="s">
        <v>53</v>
      </c>
      <c r="G926" s="8" t="s">
        <v>55</v>
      </c>
      <c r="H926" s="8" t="s">
        <v>56</v>
      </c>
      <c r="I926" s="9" t="n">
        <v>0.285714285714286</v>
      </c>
      <c r="J926" s="8" t="s">
        <v>33</v>
      </c>
    </row>
    <row r="927" customFormat="false" ht="15" hidden="false" customHeight="false" outlineLevel="0" collapsed="false">
      <c r="A927" s="8" t="n">
        <v>20000</v>
      </c>
      <c r="B927" s="8" t="n">
        <v>224</v>
      </c>
      <c r="C927" s="8" t="str">
        <f aca="false">IFERROR(INDEX('Project Classifications'!$B$2:$B$231,MATCH(B927,'Project Classifications'!$A$2:$A$231,0)),"")</f>
        <v>Data for: Authoritarian Apprehensions: Ideology, Judgment, and Mourning in Syria</v>
      </c>
      <c r="D927" s="8" t="s">
        <v>1475</v>
      </c>
      <c r="E927" s="8" t="s">
        <v>600</v>
      </c>
      <c r="F927" s="8" t="s">
        <v>36</v>
      </c>
      <c r="G927" s="8" t="s">
        <v>38</v>
      </c>
      <c r="H927" s="8" t="s">
        <v>39</v>
      </c>
      <c r="I927" s="9" t="n">
        <v>0.125</v>
      </c>
      <c r="J927" s="8" t="s">
        <v>33</v>
      </c>
    </row>
    <row r="928" customFormat="false" ht="15" hidden="false" customHeight="false" outlineLevel="0" collapsed="false">
      <c r="A928" s="8" t="n">
        <v>20001</v>
      </c>
      <c r="B928" s="8" t="n">
        <v>224</v>
      </c>
      <c r="C928" s="8" t="str">
        <f aca="false">IFERROR(INDEX('Project Classifications'!$B$2:$B$231,MATCH(B928,'Project Classifications'!$A$2:$A$231,0)),"")</f>
        <v>Data for: Authoritarian Apprehensions: Ideology, Judgment, and Mourning in Syria</v>
      </c>
      <c r="D928" s="8" t="s">
        <v>1476</v>
      </c>
      <c r="E928" s="8" t="s">
        <v>600</v>
      </c>
      <c r="F928" s="8" t="s">
        <v>36</v>
      </c>
      <c r="G928" s="8" t="s">
        <v>38</v>
      </c>
      <c r="H928" s="8" t="s">
        <v>39</v>
      </c>
      <c r="I928" s="9" t="n">
        <v>0.25</v>
      </c>
      <c r="J928" s="8" t="s">
        <v>33</v>
      </c>
    </row>
    <row r="929" customFormat="false" ht="15" hidden="false" customHeight="false" outlineLevel="0" collapsed="false">
      <c r="A929" s="8" t="n">
        <v>20002</v>
      </c>
      <c r="B929" s="8" t="n">
        <v>224</v>
      </c>
      <c r="C929" s="8" t="str">
        <f aca="false">IFERROR(INDEX('Project Classifications'!$B$2:$B$231,MATCH(B929,'Project Classifications'!$A$2:$A$231,0)),"")</f>
        <v>Data for: Authoritarian Apprehensions: Ideology, Judgment, and Mourning in Syria</v>
      </c>
      <c r="D929" s="8" t="s">
        <v>1477</v>
      </c>
      <c r="E929" s="8" t="s">
        <v>600</v>
      </c>
      <c r="F929" s="8" t="s">
        <v>48</v>
      </c>
      <c r="G929" s="8" t="s">
        <v>50</v>
      </c>
      <c r="H929" s="8" t="s">
        <v>49</v>
      </c>
      <c r="I929" s="9" t="n">
        <v>0.0625</v>
      </c>
      <c r="J929" s="8" t="s">
        <v>33</v>
      </c>
    </row>
    <row r="930" customFormat="false" ht="15" hidden="false" customHeight="false" outlineLevel="0" collapsed="false">
      <c r="A930" s="8" t="n">
        <v>20003</v>
      </c>
      <c r="B930" s="8" t="n">
        <v>225</v>
      </c>
      <c r="C930" s="8" t="str">
        <f aca="false">IFERROR(INDEX('Project Classifications'!$B$2:$B$231,MATCH(B930,'Project Classifications'!$A$2:$A$231,0)),"")</f>
        <v>Health-related Behavioural Changes During the COVID-19 pandemic. A Comparison between Cohorts of French and Italian University Students</v>
      </c>
      <c r="D930" s="8" t="s">
        <v>1478</v>
      </c>
      <c r="E930" s="8" t="s">
        <v>562</v>
      </c>
      <c r="F930" s="8" t="s">
        <v>42</v>
      </c>
      <c r="G930" s="8" t="s">
        <v>44</v>
      </c>
      <c r="H930" s="8" t="s">
        <v>45</v>
      </c>
      <c r="I930" s="9" t="n">
        <v>0.333333333333333</v>
      </c>
      <c r="J930" s="8" t="s">
        <v>33</v>
      </c>
    </row>
    <row r="931" customFormat="false" ht="15" hidden="false" customHeight="false" outlineLevel="0" collapsed="false">
      <c r="A931" s="8" t="n">
        <v>20004</v>
      </c>
      <c r="B931" s="8" t="n">
        <v>225</v>
      </c>
      <c r="C931" s="8" t="str">
        <f aca="false">IFERROR(INDEX('Project Classifications'!$B$2:$B$231,MATCH(B931,'Project Classifications'!$A$2:$A$231,0)),"")</f>
        <v>Health-related Behavioural Changes During the COVID-19 pandemic. A Comparison between Cohorts of French and Italian University Students</v>
      </c>
      <c r="D931" s="8" t="s">
        <v>1479</v>
      </c>
      <c r="E931" s="8" t="s">
        <v>562</v>
      </c>
      <c r="F931" s="8" t="s">
        <v>48</v>
      </c>
      <c r="G931" s="8" t="s">
        <v>50</v>
      </c>
      <c r="H931" s="8" t="s">
        <v>49</v>
      </c>
      <c r="I931" s="9" t="n">
        <v>0.125</v>
      </c>
      <c r="J931" s="8" t="s">
        <v>33</v>
      </c>
    </row>
    <row r="932" customFormat="false" ht="15" hidden="false" customHeight="false" outlineLevel="0" collapsed="false">
      <c r="A932" s="8" t="n">
        <v>20005</v>
      </c>
      <c r="B932" s="8" t="n">
        <v>225</v>
      </c>
      <c r="C932" s="8" t="str">
        <f aca="false">IFERROR(INDEX('Project Classifications'!$B$2:$B$231,MATCH(B932,'Project Classifications'!$A$2:$A$231,0)),"")</f>
        <v>Health-related Behavioural Changes During the COVID-19 pandemic. A Comparison between Cohorts of French and Italian University Students</v>
      </c>
      <c r="D932" s="8" t="s">
        <v>1480</v>
      </c>
      <c r="E932" s="8" t="s">
        <v>562</v>
      </c>
      <c r="F932" s="8" t="s">
        <v>117</v>
      </c>
      <c r="G932" s="8" t="s">
        <v>119</v>
      </c>
      <c r="H932" s="8" t="s">
        <v>120</v>
      </c>
      <c r="I932" s="9" t="n">
        <v>0.25</v>
      </c>
      <c r="J932" s="8" t="s">
        <v>33</v>
      </c>
    </row>
    <row r="933" customFormat="false" ht="15" hidden="false" customHeight="false" outlineLevel="0" collapsed="false">
      <c r="A933" s="8" t="n">
        <v>20007</v>
      </c>
      <c r="B933" s="8" t="n">
        <v>225</v>
      </c>
      <c r="C933" s="8" t="str">
        <f aca="false">IFERROR(INDEX('Project Classifications'!$B$2:$B$231,MATCH(B933,'Project Classifications'!$A$2:$A$231,0)),"")</f>
        <v>Health-related Behavioural Changes During the COVID-19 pandemic. A Comparison between Cohorts of French and Italian University Students</v>
      </c>
      <c r="D933" s="8" t="s">
        <v>1481</v>
      </c>
      <c r="E933" s="8" t="s">
        <v>574</v>
      </c>
      <c r="F933" s="8" t="s">
        <v>42</v>
      </c>
      <c r="G933" s="8" t="s">
        <v>44</v>
      </c>
      <c r="H933" s="8" t="s">
        <v>45</v>
      </c>
      <c r="I933" s="9" t="n">
        <v>0.277777777777778</v>
      </c>
      <c r="J933" s="8" t="s">
        <v>33</v>
      </c>
    </row>
    <row r="934" customFormat="false" ht="15" hidden="false" customHeight="false" outlineLevel="0" collapsed="false">
      <c r="A934" s="8" t="n">
        <v>20008</v>
      </c>
      <c r="B934" s="8" t="n">
        <v>226</v>
      </c>
      <c r="C934" s="8" t="str">
        <f aca="false">IFERROR(INDEX('Project Classifications'!$B$2:$B$231,MATCH(B934,'Project Classifications'!$A$2:$A$231,0)),"")</f>
        <v>Data for: “Elite preferences, administrative institutions, and educational development during Peru’s aristocratic republic (1895–1919),” in: State and nation making in Latin America and Spain: Republics of the possible</v>
      </c>
      <c r="D934" s="8" t="s">
        <v>653</v>
      </c>
      <c r="E934" s="8" t="s">
        <v>654</v>
      </c>
      <c r="F934" s="8" t="s">
        <v>48</v>
      </c>
      <c r="G934" s="8" t="s">
        <v>50</v>
      </c>
      <c r="H934" s="8" t="s">
        <v>49</v>
      </c>
      <c r="I934" s="9" t="n">
        <v>0.125</v>
      </c>
      <c r="J934" s="8" t="s">
        <v>33</v>
      </c>
    </row>
    <row r="935" customFormat="false" ht="15" hidden="false" customHeight="false" outlineLevel="0" collapsed="false">
      <c r="A935" s="8" t="n">
        <v>20009</v>
      </c>
      <c r="B935" s="8" t="n">
        <v>226</v>
      </c>
      <c r="C935" s="8" t="str">
        <f aca="false">IFERROR(INDEX('Project Classifications'!$B$2:$B$231,MATCH(B935,'Project Classifications'!$A$2:$A$231,0)),"")</f>
        <v>Data for: “Elite preferences, administrative institutions, and educational development during Peru’s aristocratic republic (1895–1919),” in: State and nation making in Latin America and Spain: Republics of the possible</v>
      </c>
      <c r="D935" s="8" t="s">
        <v>1482</v>
      </c>
      <c r="E935" s="8" t="s">
        <v>574</v>
      </c>
      <c r="F935" s="8" t="s">
        <v>48</v>
      </c>
      <c r="G935" s="8" t="s">
        <v>50</v>
      </c>
      <c r="H935" s="8" t="s">
        <v>49</v>
      </c>
      <c r="I935" s="9" t="n">
        <v>0.1875</v>
      </c>
      <c r="J935" s="8" t="s">
        <v>33</v>
      </c>
    </row>
    <row r="936" customFormat="false" ht="15" hidden="false" customHeight="false" outlineLevel="0" collapsed="false">
      <c r="A936" s="8" t="n">
        <v>20091</v>
      </c>
      <c r="B936" s="8" t="n">
        <v>227</v>
      </c>
      <c r="C936" s="8" t="str">
        <f aca="false">IFERROR(INDEX('Project Classifications'!$B$2:$B$231,MATCH(B936,'Project Classifications'!$A$2:$A$231,0)),"")</f>
        <v>Data for: When do the dispossessed protest? Informal leadership and mobilization in Syrian refugee camps</v>
      </c>
      <c r="D936" s="8" t="s">
        <v>1483</v>
      </c>
      <c r="E936" s="8" t="s">
        <v>1484</v>
      </c>
      <c r="F936" s="8" t="s">
        <v>30</v>
      </c>
      <c r="G936" s="8" t="s">
        <v>32</v>
      </c>
      <c r="H936" s="8" t="s">
        <v>31</v>
      </c>
      <c r="I936" s="9" t="n">
        <v>0.0588235294117647</v>
      </c>
      <c r="J936" s="8" t="s">
        <v>33</v>
      </c>
    </row>
    <row r="937" customFormat="false" ht="15" hidden="false" customHeight="false" outlineLevel="0" collapsed="false">
      <c r="A937" s="8" t="n">
        <v>20092</v>
      </c>
      <c r="B937" s="8" t="n">
        <v>227</v>
      </c>
      <c r="C937" s="8" t="str">
        <f aca="false">IFERROR(INDEX('Project Classifications'!$B$2:$B$231,MATCH(B937,'Project Classifications'!$A$2:$A$231,0)),"")</f>
        <v>Data for: When do the dispossessed protest? Informal leadership and mobilization in Syrian refugee camps</v>
      </c>
      <c r="D937" s="8" t="s">
        <v>1485</v>
      </c>
      <c r="E937" s="8" t="s">
        <v>778</v>
      </c>
      <c r="F937" s="8" t="s">
        <v>30</v>
      </c>
      <c r="G937" s="8" t="s">
        <v>32</v>
      </c>
      <c r="H937" s="8" t="s">
        <v>31</v>
      </c>
      <c r="I937" s="9" t="n">
        <v>0</v>
      </c>
      <c r="J937" s="8" t="s">
        <v>741</v>
      </c>
    </row>
    <row r="938" customFormat="false" ht="15" hidden="false" customHeight="false" outlineLevel="0" collapsed="false">
      <c r="A938" s="8" t="n">
        <v>20098</v>
      </c>
      <c r="B938" s="8" t="n">
        <v>227</v>
      </c>
      <c r="C938" s="8" t="str">
        <f aca="false">IFERROR(INDEX('Project Classifications'!$B$2:$B$231,MATCH(B938,'Project Classifications'!$A$2:$A$231,0)),"")</f>
        <v>Data for: When do the dispossessed protest? Informal leadership and mobilization in Syrian refugee camps</v>
      </c>
      <c r="D938" s="8" t="s">
        <v>1486</v>
      </c>
      <c r="E938" s="8" t="s">
        <v>778</v>
      </c>
      <c r="F938" s="8" t="s">
        <v>30</v>
      </c>
      <c r="G938" s="8" t="s">
        <v>32</v>
      </c>
      <c r="H938" s="8" t="s">
        <v>31</v>
      </c>
      <c r="I938" s="9" t="n">
        <v>0</v>
      </c>
      <c r="J938" s="8" t="s">
        <v>741</v>
      </c>
    </row>
    <row r="939" customFormat="false" ht="15" hidden="false" customHeight="false" outlineLevel="0" collapsed="false">
      <c r="A939" s="8" t="n">
        <v>20099</v>
      </c>
      <c r="B939" s="8" t="n">
        <v>227</v>
      </c>
      <c r="C939" s="8" t="str">
        <f aca="false">IFERROR(INDEX('Project Classifications'!$B$2:$B$231,MATCH(B939,'Project Classifications'!$A$2:$A$231,0)),"")</f>
        <v>Data for: When do the dispossessed protest? Informal leadership and mobilization in Syrian refugee camps</v>
      </c>
      <c r="D939" s="8" t="s">
        <v>1487</v>
      </c>
      <c r="E939" s="8" t="s">
        <v>574</v>
      </c>
      <c r="F939" s="8" t="s">
        <v>53</v>
      </c>
      <c r="G939" s="8" t="s">
        <v>55</v>
      </c>
      <c r="H939" s="8" t="s">
        <v>56</v>
      </c>
      <c r="I939" s="9" t="n">
        <v>0.285714285714286</v>
      </c>
      <c r="J939" s="8" t="s">
        <v>33</v>
      </c>
    </row>
    <row r="940" customFormat="false" ht="15" hidden="false" customHeight="false" outlineLevel="0" collapsed="false">
      <c r="A940" s="8" t="n">
        <v>20100</v>
      </c>
      <c r="B940" s="8" t="n">
        <v>228</v>
      </c>
      <c r="C940" s="8" t="str">
        <f aca="false">IFERROR(INDEX('Project Classifications'!$B$2:$B$231,MATCH(B940,'Project Classifications'!$A$2:$A$231,0)),"")</f>
        <v>The Deterrence Project</v>
      </c>
      <c r="D940" s="8" t="s">
        <v>1488</v>
      </c>
      <c r="E940" s="8" t="s">
        <v>574</v>
      </c>
      <c r="F940" s="8" t="s">
        <v>53</v>
      </c>
      <c r="G940" s="8" t="s">
        <v>55</v>
      </c>
      <c r="H940" s="8" t="s">
        <v>56</v>
      </c>
      <c r="I940" s="9" t="n">
        <v>0.285714285714286</v>
      </c>
      <c r="J940" s="8" t="s">
        <v>33</v>
      </c>
    </row>
    <row r="941" customFormat="false" ht="15" hidden="false" customHeight="false" outlineLevel="0" collapsed="false">
      <c r="A941" s="8" t="n">
        <v>20129</v>
      </c>
      <c r="B941" s="8" t="n">
        <v>228</v>
      </c>
      <c r="C941" s="8" t="str">
        <f aca="false">IFERROR(INDEX('Project Classifications'!$B$2:$B$231,MATCH(B941,'Project Classifications'!$A$2:$A$231,0)),"")</f>
        <v>The Deterrence Project</v>
      </c>
      <c r="D941" s="8" t="s">
        <v>1489</v>
      </c>
      <c r="E941" s="8" t="s">
        <v>562</v>
      </c>
      <c r="F941" s="8" t="s">
        <v>48</v>
      </c>
      <c r="G941" s="8" t="s">
        <v>50</v>
      </c>
      <c r="H941" s="8" t="s">
        <v>49</v>
      </c>
      <c r="I941" s="9" t="n">
        <v>0.0625</v>
      </c>
      <c r="J941" s="8" t="s">
        <v>33</v>
      </c>
    </row>
    <row r="942" customFormat="false" ht="15" hidden="false" customHeight="false" outlineLevel="0" collapsed="false">
      <c r="A942" s="8" t="n">
        <v>20144</v>
      </c>
      <c r="B942" s="8" t="n">
        <v>229</v>
      </c>
      <c r="C942" s="8" t="str">
        <f aca="false">IFERROR(INDEX('Project Classifications'!$B$2:$B$231,MATCH(B942,'Project Classifications'!$A$2:$A$231,0)),"")</f>
        <v>Data for: Monte Carlo approach to fuzzy AHP risk analysis in renewable energy construction projects</v>
      </c>
      <c r="D942" s="8" t="s">
        <v>1490</v>
      </c>
      <c r="E942" s="8" t="s">
        <v>574</v>
      </c>
      <c r="F942" s="8" t="s">
        <v>53</v>
      </c>
      <c r="G942" s="8" t="s">
        <v>55</v>
      </c>
      <c r="H942" s="8" t="s">
        <v>56</v>
      </c>
      <c r="I942" s="9" t="n">
        <v>0.285714285714286</v>
      </c>
      <c r="J942" s="8" t="s">
        <v>33</v>
      </c>
    </row>
    <row r="943" customFormat="false" ht="15" hidden="false" customHeight="false" outlineLevel="0" collapsed="false">
      <c r="A943" s="8" t="n">
        <v>20169</v>
      </c>
      <c r="B943" s="8" t="n">
        <v>229</v>
      </c>
      <c r="C943" s="8" t="str">
        <f aca="false">IFERROR(INDEX('Project Classifications'!$B$2:$B$231,MATCH(B943,'Project Classifications'!$A$2:$A$231,0)),"")</f>
        <v>Data for: Monte Carlo approach to fuzzy AHP risk analysis in renewable energy construction projects</v>
      </c>
      <c r="D943" s="8" t="s">
        <v>1491</v>
      </c>
      <c r="E943" s="8" t="s">
        <v>778</v>
      </c>
      <c r="F943" s="8" t="s">
        <v>179</v>
      </c>
      <c r="G943" s="8" t="s">
        <v>553</v>
      </c>
      <c r="H943" s="8" t="s">
        <v>554</v>
      </c>
      <c r="I943" s="9" t="n">
        <v>0</v>
      </c>
      <c r="J943" s="8" t="s">
        <v>741</v>
      </c>
    </row>
    <row r="944" customFormat="false" ht="15" hidden="false" customHeight="false" outlineLevel="0" collapsed="false">
      <c r="A944" s="8" t="n">
        <v>20170</v>
      </c>
      <c r="B944" s="8" t="n">
        <v>229</v>
      </c>
      <c r="C944" s="8" t="str">
        <f aca="false">IFERROR(INDEX('Project Classifications'!$B$2:$B$231,MATCH(B944,'Project Classifications'!$A$2:$A$231,0)),"")</f>
        <v>Data for: Monte Carlo approach to fuzzy AHP risk analysis in renewable energy construction projects</v>
      </c>
      <c r="D944" s="8" t="s">
        <v>1492</v>
      </c>
      <c r="E944" s="8" t="s">
        <v>778</v>
      </c>
      <c r="F944" s="8" t="s">
        <v>179</v>
      </c>
      <c r="G944" s="8" t="s">
        <v>553</v>
      </c>
      <c r="H944" s="8" t="s">
        <v>554</v>
      </c>
      <c r="I944" s="9" t="n">
        <v>0</v>
      </c>
      <c r="J944" s="8" t="s">
        <v>741</v>
      </c>
    </row>
    <row r="945" customFormat="false" ht="15" hidden="false" customHeight="false" outlineLevel="0" collapsed="false">
      <c r="A945" s="8" t="n">
        <v>20195</v>
      </c>
      <c r="B945" s="8" t="n">
        <v>230</v>
      </c>
      <c r="C945" s="8" t="str">
        <f aca="false">IFERROR(INDEX('Project Classifications'!$B$2:$B$231,MATCH(B945,'Project Classifications'!$A$2:$A$231,0)),"")</f>
        <v>Data for: “Pivotal deterrence and the chain gang: Sir Edward Grey’s ambiguous policy and the July Crisis,” in: Pivotal deterrence: Third-party statecraft and the pursuit of peace</v>
      </c>
      <c r="D945" s="8" t="s">
        <v>653</v>
      </c>
      <c r="E945" s="8" t="s">
        <v>654</v>
      </c>
      <c r="F945" s="8" t="s">
        <v>305</v>
      </c>
      <c r="G945" s="8" t="s">
        <v>307</v>
      </c>
      <c r="H945" s="8" t="s">
        <v>306</v>
      </c>
      <c r="I945" s="9" t="n">
        <v>0</v>
      </c>
      <c r="J945" s="8" t="s">
        <v>33</v>
      </c>
    </row>
    <row r="946" customFormat="false" ht="15" hidden="false" customHeight="false" outlineLevel="0" collapsed="false">
      <c r="A946" s="8" t="n">
        <v>20322</v>
      </c>
      <c r="B946" s="8" t="n">
        <v>230</v>
      </c>
      <c r="C946" s="8" t="str">
        <f aca="false">IFERROR(INDEX('Project Classifications'!$B$2:$B$231,MATCH(B946,'Project Classifications'!$A$2:$A$231,0)),"")</f>
        <v>Data for: “Pivotal deterrence and the chain gang: Sir Edward Grey’s ambiguous policy and the July Crisis,” in: Pivotal deterrence: Third-party statecraft and the pursuit of peace</v>
      </c>
      <c r="D946" s="8" t="s">
        <v>1493</v>
      </c>
      <c r="E946" s="8" t="s">
        <v>574</v>
      </c>
      <c r="F946" s="8" t="s">
        <v>53</v>
      </c>
      <c r="G946" s="8" t="s">
        <v>55</v>
      </c>
      <c r="H946" s="8" t="s">
        <v>56</v>
      </c>
      <c r="I946" s="9" t="n">
        <v>0.285714285714286</v>
      </c>
      <c r="J946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5"/>
  </cols>
  <sheetData>
    <row r="1" customFormat="false" ht="15" hidden="false" customHeight="false" outlineLevel="0" collapsed="false">
      <c r="A1" s="7" t="s">
        <v>15</v>
      </c>
      <c r="B1" s="7" t="s">
        <v>1494</v>
      </c>
    </row>
    <row r="2" customFormat="false" ht="15" hidden="false" customHeight="false" outlineLevel="0" collapsed="false">
      <c r="A2" s="8" t="n">
        <v>34</v>
      </c>
      <c r="B2" s="8" t="s">
        <v>1495</v>
      </c>
    </row>
    <row r="3" customFormat="false" ht="15" hidden="false" customHeight="false" outlineLevel="0" collapsed="false">
      <c r="A3" s="8" t="n">
        <v>38</v>
      </c>
      <c r="B3" s="8" t="s">
        <v>1495</v>
      </c>
    </row>
    <row r="4" customFormat="false" ht="15" hidden="false" customHeight="false" outlineLevel="0" collapsed="false">
      <c r="A4" s="8" t="n">
        <v>68</v>
      </c>
      <c r="B4" s="8" t="s">
        <v>1495</v>
      </c>
    </row>
    <row r="5" customFormat="false" ht="15" hidden="false" customHeight="false" outlineLevel="0" collapsed="false">
      <c r="A5" s="8" t="n">
        <v>80</v>
      </c>
      <c r="B5" s="8" t="s">
        <v>1496</v>
      </c>
    </row>
    <row r="6" customFormat="false" ht="15" hidden="false" customHeight="false" outlineLevel="0" collapsed="false">
      <c r="A6" s="8" t="n">
        <v>149</v>
      </c>
      <c r="B6" s="8" t="s">
        <v>1497</v>
      </c>
    </row>
    <row r="7" customFormat="false" ht="15" hidden="false" customHeight="false" outlineLevel="0" collapsed="false">
      <c r="A7" s="8" t="n">
        <v>199</v>
      </c>
      <c r="B7" s="8" t="s">
        <v>1497</v>
      </c>
    </row>
    <row r="8" customFormat="false" ht="15" hidden="false" customHeight="false" outlineLevel="0" collapsed="false">
      <c r="A8" s="8" t="n">
        <v>40</v>
      </c>
      <c r="B8" s="8" t="s">
        <v>1498</v>
      </c>
    </row>
    <row r="9" customFormat="false" ht="15" hidden="false" customHeight="false" outlineLevel="0" collapsed="false">
      <c r="A9" s="8" t="n">
        <v>59</v>
      </c>
      <c r="B9" s="8" t="s">
        <v>1498</v>
      </c>
    </row>
    <row r="10" customFormat="false" ht="15" hidden="false" customHeight="false" outlineLevel="0" collapsed="false">
      <c r="A10" s="8" t="n">
        <v>73</v>
      </c>
      <c r="B10" s="8" t="s">
        <v>1498</v>
      </c>
    </row>
    <row r="11" customFormat="false" ht="15" hidden="false" customHeight="false" outlineLevel="0" collapsed="false">
      <c r="A11" s="8" t="n">
        <v>80</v>
      </c>
      <c r="B11" s="8" t="s">
        <v>1498</v>
      </c>
    </row>
    <row r="12" customFormat="false" ht="15" hidden="false" customHeight="false" outlineLevel="0" collapsed="false">
      <c r="A12" s="8" t="n">
        <v>200</v>
      </c>
      <c r="B12" s="8" t="s">
        <v>1499</v>
      </c>
    </row>
    <row r="13" customFormat="false" ht="15" hidden="false" customHeight="false" outlineLevel="0" collapsed="false">
      <c r="A13" s="8" t="n">
        <v>188</v>
      </c>
      <c r="B13" s="8" t="s">
        <v>1500</v>
      </c>
    </row>
    <row r="14" customFormat="false" ht="15" hidden="false" customHeight="false" outlineLevel="0" collapsed="false">
      <c r="A14" s="8" t="n">
        <v>57</v>
      </c>
      <c r="B14" s="8" t="s">
        <v>1501</v>
      </c>
    </row>
    <row r="15" customFormat="false" ht="15" hidden="false" customHeight="false" outlineLevel="0" collapsed="false">
      <c r="A15" s="8" t="n">
        <v>76</v>
      </c>
      <c r="B15" s="8" t="s">
        <v>1501</v>
      </c>
    </row>
    <row r="16" customFormat="false" ht="15" hidden="false" customHeight="false" outlineLevel="0" collapsed="false">
      <c r="A16" s="8" t="n">
        <v>79</v>
      </c>
      <c r="B16" s="8" t="s">
        <v>1501</v>
      </c>
    </row>
    <row r="17" customFormat="false" ht="15" hidden="false" customHeight="false" outlineLevel="0" collapsed="false">
      <c r="A17" s="8" t="n">
        <v>91</v>
      </c>
      <c r="B17" s="8" t="s">
        <v>1501</v>
      </c>
    </row>
    <row r="18" customFormat="false" ht="15" hidden="false" customHeight="false" outlineLevel="0" collapsed="false">
      <c r="A18" s="8" t="n">
        <v>95</v>
      </c>
      <c r="B18" s="8" t="s">
        <v>1501</v>
      </c>
    </row>
    <row r="19" customFormat="false" ht="15" hidden="false" customHeight="false" outlineLevel="0" collapsed="false">
      <c r="A19" s="8" t="n">
        <v>101</v>
      </c>
      <c r="B19" s="8" t="s">
        <v>1501</v>
      </c>
    </row>
    <row r="20" customFormat="false" ht="15" hidden="false" customHeight="false" outlineLevel="0" collapsed="false">
      <c r="A20" s="8" t="n">
        <v>122</v>
      </c>
      <c r="B20" s="8" t="s">
        <v>1501</v>
      </c>
    </row>
    <row r="21" customFormat="false" ht="15" hidden="false" customHeight="false" outlineLevel="0" collapsed="false">
      <c r="A21" s="8" t="n">
        <v>129</v>
      </c>
      <c r="B21" s="8" t="s">
        <v>1501</v>
      </c>
    </row>
    <row r="22" customFormat="false" ht="15" hidden="false" customHeight="false" outlineLevel="0" collapsed="false">
      <c r="A22" s="8" t="n">
        <v>153</v>
      </c>
      <c r="B22" s="8" t="s">
        <v>1501</v>
      </c>
    </row>
    <row r="23" customFormat="false" ht="15" hidden="false" customHeight="false" outlineLevel="0" collapsed="false">
      <c r="A23" s="8" t="n">
        <v>157</v>
      </c>
      <c r="B23" s="8" t="s">
        <v>1501</v>
      </c>
    </row>
    <row r="24" customFormat="false" ht="15" hidden="false" customHeight="false" outlineLevel="0" collapsed="false">
      <c r="A24" s="8" t="n">
        <v>160</v>
      </c>
      <c r="B24" s="8" t="s">
        <v>1501</v>
      </c>
    </row>
    <row r="25" customFormat="false" ht="15" hidden="false" customHeight="false" outlineLevel="0" collapsed="false">
      <c r="A25" s="8" t="n">
        <v>162</v>
      </c>
      <c r="B25" s="8" t="s">
        <v>1501</v>
      </c>
    </row>
    <row r="26" customFormat="false" ht="15" hidden="false" customHeight="false" outlineLevel="0" collapsed="false">
      <c r="A26" s="8" t="n">
        <v>175</v>
      </c>
      <c r="B26" s="8" t="s">
        <v>1501</v>
      </c>
    </row>
    <row r="27" customFormat="false" ht="15" hidden="false" customHeight="false" outlineLevel="0" collapsed="false">
      <c r="A27" s="8" t="n">
        <v>180</v>
      </c>
      <c r="B27" s="8" t="s">
        <v>1501</v>
      </c>
    </row>
    <row r="28" customFormat="false" ht="15" hidden="false" customHeight="false" outlineLevel="0" collapsed="false">
      <c r="A28" s="8" t="n">
        <v>184</v>
      </c>
      <c r="B28" s="8" t="s">
        <v>1501</v>
      </c>
    </row>
    <row r="29" customFormat="false" ht="15" hidden="false" customHeight="false" outlineLevel="0" collapsed="false">
      <c r="A29" s="8" t="n">
        <v>191</v>
      </c>
      <c r="B29" s="8" t="s">
        <v>1501</v>
      </c>
    </row>
    <row r="30" customFormat="false" ht="15" hidden="false" customHeight="false" outlineLevel="0" collapsed="false">
      <c r="A30" s="8" t="n">
        <v>197</v>
      </c>
      <c r="B30" s="8" t="s">
        <v>1501</v>
      </c>
    </row>
    <row r="31" customFormat="false" ht="15" hidden="false" customHeight="false" outlineLevel="0" collapsed="false">
      <c r="A31" s="8" t="n">
        <v>212</v>
      </c>
      <c r="B31" s="8" t="s">
        <v>1501</v>
      </c>
    </row>
    <row r="32" customFormat="false" ht="15" hidden="false" customHeight="false" outlineLevel="0" collapsed="false">
      <c r="A32" s="8" t="n">
        <v>215</v>
      </c>
      <c r="B32" s="8" t="s">
        <v>1501</v>
      </c>
    </row>
    <row r="33" customFormat="false" ht="15" hidden="false" customHeight="false" outlineLevel="0" collapsed="false">
      <c r="A33" s="8" t="n">
        <v>216</v>
      </c>
      <c r="B33" s="8" t="s">
        <v>1501</v>
      </c>
    </row>
    <row r="34" customFormat="false" ht="15" hidden="false" customHeight="false" outlineLevel="0" collapsed="false">
      <c r="A34" s="8" t="n">
        <v>217</v>
      </c>
      <c r="B34" s="8" t="s">
        <v>1501</v>
      </c>
    </row>
    <row r="35" customFormat="false" ht="15" hidden="false" customHeight="false" outlineLevel="0" collapsed="false">
      <c r="A35" s="8" t="n">
        <v>218</v>
      </c>
      <c r="B35" s="8" t="s">
        <v>1501</v>
      </c>
    </row>
    <row r="36" customFormat="false" ht="15" hidden="false" customHeight="false" outlineLevel="0" collapsed="false">
      <c r="A36" s="8" t="n">
        <v>220</v>
      </c>
      <c r="B36" s="8" t="s">
        <v>1501</v>
      </c>
    </row>
    <row r="37" customFormat="false" ht="15" hidden="false" customHeight="false" outlineLevel="0" collapsed="false">
      <c r="A37" s="8" t="n">
        <v>223</v>
      </c>
      <c r="B37" s="8" t="s">
        <v>1501</v>
      </c>
    </row>
    <row r="38" customFormat="false" ht="15" hidden="false" customHeight="false" outlineLevel="0" collapsed="false">
      <c r="A38" s="8" t="n">
        <v>224</v>
      </c>
      <c r="B38" s="8" t="s">
        <v>1501</v>
      </c>
    </row>
    <row r="39" customFormat="false" ht="15" hidden="false" customHeight="false" outlineLevel="0" collapsed="false">
      <c r="A39" s="8" t="n">
        <v>226</v>
      </c>
      <c r="B39" s="8" t="s">
        <v>1501</v>
      </c>
    </row>
    <row r="40" customFormat="false" ht="15" hidden="false" customHeight="false" outlineLevel="0" collapsed="false">
      <c r="A40" s="8" t="n">
        <v>230</v>
      </c>
      <c r="B40" s="8" t="s">
        <v>1501</v>
      </c>
    </row>
    <row r="41" customFormat="false" ht="15" hidden="false" customHeight="false" outlineLevel="0" collapsed="false">
      <c r="A41" s="8" t="n">
        <v>10</v>
      </c>
      <c r="B41" s="8" t="s">
        <v>1502</v>
      </c>
    </row>
    <row r="42" customFormat="false" ht="15" hidden="false" customHeight="false" outlineLevel="0" collapsed="false">
      <c r="A42" s="8" t="n">
        <v>13</v>
      </c>
      <c r="B42" s="8" t="s">
        <v>1502</v>
      </c>
    </row>
    <row r="43" customFormat="false" ht="15" hidden="false" customHeight="false" outlineLevel="0" collapsed="false">
      <c r="A43" s="8" t="n">
        <v>29</v>
      </c>
      <c r="B43" s="8" t="s">
        <v>1502</v>
      </c>
    </row>
    <row r="44" customFormat="false" ht="15" hidden="false" customHeight="false" outlineLevel="0" collapsed="false">
      <c r="A44" s="8" t="n">
        <v>43</v>
      </c>
      <c r="B44" s="8" t="s">
        <v>1502</v>
      </c>
    </row>
    <row r="45" customFormat="false" ht="15" hidden="false" customHeight="false" outlineLevel="0" collapsed="false">
      <c r="A45" s="8" t="n">
        <v>71</v>
      </c>
      <c r="B45" s="8" t="s">
        <v>1502</v>
      </c>
    </row>
    <row r="46" customFormat="false" ht="15" hidden="false" customHeight="false" outlineLevel="0" collapsed="false">
      <c r="A46" s="8" t="n">
        <v>76</v>
      </c>
      <c r="B46" s="8" t="s">
        <v>1502</v>
      </c>
    </row>
    <row r="47" customFormat="false" ht="15" hidden="false" customHeight="false" outlineLevel="0" collapsed="false">
      <c r="A47" s="8" t="n">
        <v>100</v>
      </c>
      <c r="B47" s="8" t="s">
        <v>1502</v>
      </c>
    </row>
    <row r="48" customFormat="false" ht="15" hidden="false" customHeight="false" outlineLevel="0" collapsed="false">
      <c r="A48" s="8" t="n">
        <v>103</v>
      </c>
      <c r="B48" s="8" t="s">
        <v>1502</v>
      </c>
    </row>
    <row r="49" customFormat="false" ht="15" hidden="false" customHeight="false" outlineLevel="0" collapsed="false">
      <c r="A49" s="8" t="n">
        <v>104</v>
      </c>
      <c r="B49" s="8" t="s">
        <v>1502</v>
      </c>
    </row>
    <row r="50" customFormat="false" ht="15" hidden="false" customHeight="false" outlineLevel="0" collapsed="false">
      <c r="A50" s="8" t="n">
        <v>107</v>
      </c>
      <c r="B50" s="8" t="s">
        <v>1502</v>
      </c>
    </row>
    <row r="51" customFormat="false" ht="15" hidden="false" customHeight="false" outlineLevel="0" collapsed="false">
      <c r="A51" s="8" t="n">
        <v>108</v>
      </c>
      <c r="B51" s="8" t="s">
        <v>1502</v>
      </c>
    </row>
    <row r="52" customFormat="false" ht="15" hidden="false" customHeight="false" outlineLevel="0" collapsed="false">
      <c r="A52" s="8" t="n">
        <v>112</v>
      </c>
      <c r="B52" s="8" t="s">
        <v>1502</v>
      </c>
    </row>
    <row r="53" customFormat="false" ht="15" hidden="false" customHeight="false" outlineLevel="0" collapsed="false">
      <c r="A53" s="8" t="n">
        <v>114</v>
      </c>
      <c r="B53" s="8" t="s">
        <v>1502</v>
      </c>
    </row>
    <row r="54" customFormat="false" ht="15" hidden="false" customHeight="false" outlineLevel="0" collapsed="false">
      <c r="A54" s="8" t="n">
        <v>119</v>
      </c>
      <c r="B54" s="8" t="s">
        <v>1502</v>
      </c>
    </row>
    <row r="55" customFormat="false" ht="15" hidden="false" customHeight="false" outlineLevel="0" collapsed="false">
      <c r="A55" s="8" t="n">
        <v>120</v>
      </c>
      <c r="B55" s="8" t="s">
        <v>1502</v>
      </c>
    </row>
    <row r="56" customFormat="false" ht="15" hidden="false" customHeight="false" outlineLevel="0" collapsed="false">
      <c r="A56" s="8" t="n">
        <v>126</v>
      </c>
      <c r="B56" s="8" t="s">
        <v>1502</v>
      </c>
    </row>
    <row r="57" customFormat="false" ht="15" hidden="false" customHeight="false" outlineLevel="0" collapsed="false">
      <c r="A57" s="8" t="n">
        <v>129</v>
      </c>
      <c r="B57" s="8" t="s">
        <v>1502</v>
      </c>
    </row>
    <row r="58" customFormat="false" ht="15" hidden="false" customHeight="false" outlineLevel="0" collapsed="false">
      <c r="A58" s="8" t="n">
        <v>130</v>
      </c>
      <c r="B58" s="8" t="s">
        <v>1502</v>
      </c>
    </row>
    <row r="59" customFormat="false" ht="15" hidden="false" customHeight="false" outlineLevel="0" collapsed="false">
      <c r="A59" s="8" t="n">
        <v>132</v>
      </c>
      <c r="B59" s="8" t="s">
        <v>1502</v>
      </c>
    </row>
    <row r="60" customFormat="false" ht="15" hidden="false" customHeight="false" outlineLevel="0" collapsed="false">
      <c r="A60" s="8" t="n">
        <v>168</v>
      </c>
      <c r="B60" s="8" t="s">
        <v>1502</v>
      </c>
    </row>
    <row r="61" customFormat="false" ht="15" hidden="false" customHeight="false" outlineLevel="0" collapsed="false">
      <c r="A61" s="8" t="n">
        <v>169</v>
      </c>
      <c r="B61" s="8" t="s">
        <v>1502</v>
      </c>
    </row>
    <row r="62" customFormat="false" ht="15" hidden="false" customHeight="false" outlineLevel="0" collapsed="false">
      <c r="A62" s="8" t="n">
        <v>170</v>
      </c>
      <c r="B62" s="8" t="s">
        <v>1502</v>
      </c>
    </row>
    <row r="63" customFormat="false" ht="15" hidden="false" customHeight="false" outlineLevel="0" collapsed="false">
      <c r="A63" s="8" t="n">
        <v>171</v>
      </c>
      <c r="B63" s="8" t="s">
        <v>1502</v>
      </c>
    </row>
    <row r="64" customFormat="false" ht="15" hidden="false" customHeight="false" outlineLevel="0" collapsed="false">
      <c r="A64" s="8" t="n">
        <v>172</v>
      </c>
      <c r="B64" s="8" t="s">
        <v>1502</v>
      </c>
    </row>
    <row r="65" customFormat="false" ht="15" hidden="false" customHeight="false" outlineLevel="0" collapsed="false">
      <c r="A65" s="8" t="n">
        <v>176</v>
      </c>
      <c r="B65" s="8" t="s">
        <v>1502</v>
      </c>
    </row>
    <row r="66" customFormat="false" ht="15" hidden="false" customHeight="false" outlineLevel="0" collapsed="false">
      <c r="A66" s="8" t="n">
        <v>177</v>
      </c>
      <c r="B66" s="8" t="s">
        <v>1502</v>
      </c>
    </row>
    <row r="67" customFormat="false" ht="15" hidden="false" customHeight="false" outlineLevel="0" collapsed="false">
      <c r="A67" s="8" t="n">
        <v>178</v>
      </c>
      <c r="B67" s="8" t="s">
        <v>1502</v>
      </c>
    </row>
    <row r="68" customFormat="false" ht="15" hidden="false" customHeight="false" outlineLevel="0" collapsed="false">
      <c r="A68" s="8" t="n">
        <v>179</v>
      </c>
      <c r="B68" s="8" t="s">
        <v>1502</v>
      </c>
    </row>
    <row r="69" customFormat="false" ht="15" hidden="false" customHeight="false" outlineLevel="0" collapsed="false">
      <c r="A69" s="8" t="n">
        <v>185</v>
      </c>
      <c r="B69" s="8" t="s">
        <v>1502</v>
      </c>
    </row>
    <row r="70" customFormat="false" ht="15" hidden="false" customHeight="false" outlineLevel="0" collapsed="false">
      <c r="A70" s="8" t="n">
        <v>186</v>
      </c>
      <c r="B70" s="8" t="s">
        <v>1502</v>
      </c>
    </row>
    <row r="71" customFormat="false" ht="15" hidden="false" customHeight="false" outlineLevel="0" collapsed="false">
      <c r="A71" s="8" t="n">
        <v>194</v>
      </c>
      <c r="B71" s="8" t="s">
        <v>1502</v>
      </c>
    </row>
    <row r="72" customFormat="false" ht="15" hidden="false" customHeight="false" outlineLevel="0" collapsed="false">
      <c r="A72" s="8" t="n">
        <v>214</v>
      </c>
      <c r="B72" s="8" t="s">
        <v>1502</v>
      </c>
    </row>
    <row r="73" customFormat="false" ht="15" hidden="false" customHeight="false" outlineLevel="0" collapsed="false">
      <c r="A73" s="8" t="n">
        <v>215</v>
      </c>
      <c r="B73" s="8" t="s">
        <v>1502</v>
      </c>
    </row>
    <row r="74" customFormat="false" ht="15" hidden="false" customHeight="false" outlineLevel="0" collapsed="false">
      <c r="A74" s="8" t="n">
        <v>217</v>
      </c>
      <c r="B74" s="8" t="s">
        <v>1502</v>
      </c>
    </row>
    <row r="75" customFormat="false" ht="15" hidden="false" customHeight="false" outlineLevel="0" collapsed="false">
      <c r="A75" s="8" t="n">
        <v>223</v>
      </c>
      <c r="B75" s="8" t="s">
        <v>1502</v>
      </c>
    </row>
    <row r="76" customFormat="false" ht="15" hidden="false" customHeight="false" outlineLevel="0" collapsed="false">
      <c r="A76" s="8" t="n">
        <v>226</v>
      </c>
      <c r="B76" s="8" t="s">
        <v>1502</v>
      </c>
    </row>
    <row r="77" customFormat="false" ht="15" hidden="false" customHeight="false" outlineLevel="0" collapsed="false">
      <c r="A77" s="8" t="n">
        <v>117</v>
      </c>
      <c r="B77" s="8" t="s">
        <v>1503</v>
      </c>
    </row>
    <row r="78" customFormat="false" ht="15" hidden="false" customHeight="false" outlineLevel="0" collapsed="false">
      <c r="A78" s="8" t="n">
        <v>3</v>
      </c>
      <c r="B78" s="8" t="s">
        <v>1504</v>
      </c>
    </row>
    <row r="79" customFormat="false" ht="15" hidden="false" customHeight="false" outlineLevel="0" collapsed="false">
      <c r="A79" s="8" t="n">
        <v>34</v>
      </c>
      <c r="B79" s="8" t="s">
        <v>1504</v>
      </c>
    </row>
    <row r="80" customFormat="false" ht="15" hidden="false" customHeight="false" outlineLevel="0" collapsed="false">
      <c r="A80" s="8" t="n">
        <v>49</v>
      </c>
      <c r="B80" s="8" t="s">
        <v>1504</v>
      </c>
    </row>
    <row r="81" customFormat="false" ht="15" hidden="false" customHeight="false" outlineLevel="0" collapsed="false">
      <c r="A81" s="8" t="n">
        <v>112</v>
      </c>
      <c r="B81" s="8" t="s">
        <v>1504</v>
      </c>
    </row>
    <row r="82" customFormat="false" ht="15" hidden="false" customHeight="false" outlineLevel="0" collapsed="false">
      <c r="A82" s="8" t="n">
        <v>119</v>
      </c>
      <c r="B82" s="8" t="s">
        <v>1504</v>
      </c>
    </row>
    <row r="83" customFormat="false" ht="15" hidden="false" customHeight="false" outlineLevel="0" collapsed="false">
      <c r="A83" s="8" t="n">
        <v>144</v>
      </c>
      <c r="B83" s="8" t="s">
        <v>1504</v>
      </c>
    </row>
    <row r="84" customFormat="false" ht="15" hidden="false" customHeight="false" outlineLevel="0" collapsed="false">
      <c r="A84" s="8" t="n">
        <v>145</v>
      </c>
      <c r="B84" s="8" t="s">
        <v>1504</v>
      </c>
    </row>
    <row r="85" customFormat="false" ht="15" hidden="false" customHeight="false" outlineLevel="0" collapsed="false">
      <c r="A85" s="8" t="n">
        <v>151</v>
      </c>
      <c r="B85" s="8" t="s">
        <v>1504</v>
      </c>
    </row>
    <row r="86" customFormat="false" ht="15" hidden="false" customHeight="false" outlineLevel="0" collapsed="false">
      <c r="A86" s="8" t="n">
        <v>82</v>
      </c>
      <c r="B86" s="8" t="s">
        <v>1505</v>
      </c>
    </row>
    <row r="87" customFormat="false" ht="15" hidden="false" customHeight="false" outlineLevel="0" collapsed="false">
      <c r="A87" s="8" t="n">
        <v>102</v>
      </c>
      <c r="B87" s="8" t="s">
        <v>1506</v>
      </c>
    </row>
    <row r="88" customFormat="false" ht="15" hidden="false" customHeight="false" outlineLevel="0" collapsed="false">
      <c r="A88" s="8" t="n">
        <v>114</v>
      </c>
      <c r="B88" s="8" t="s">
        <v>1506</v>
      </c>
    </row>
    <row r="89" customFormat="false" ht="15" hidden="false" customHeight="false" outlineLevel="0" collapsed="false">
      <c r="A89" s="8" t="n">
        <v>141</v>
      </c>
      <c r="B89" s="8" t="s">
        <v>1506</v>
      </c>
    </row>
    <row r="90" customFormat="false" ht="15" hidden="false" customHeight="false" outlineLevel="0" collapsed="false">
      <c r="A90" s="8" t="n">
        <v>96</v>
      </c>
      <c r="B90" s="8" t="s">
        <v>1507</v>
      </c>
    </row>
    <row r="91" customFormat="false" ht="15" hidden="false" customHeight="false" outlineLevel="0" collapsed="false">
      <c r="A91" s="8" t="n">
        <v>81</v>
      </c>
      <c r="B91" s="8" t="s">
        <v>1508</v>
      </c>
    </row>
    <row r="92" customFormat="false" ht="15" hidden="false" customHeight="false" outlineLevel="0" collapsed="false">
      <c r="A92" s="8" t="n">
        <v>96</v>
      </c>
      <c r="B92" s="8" t="s">
        <v>1508</v>
      </c>
    </row>
    <row r="93" customFormat="false" ht="15" hidden="false" customHeight="false" outlineLevel="0" collapsed="false">
      <c r="A93" s="8" t="n">
        <v>105</v>
      </c>
      <c r="B93" s="8" t="s">
        <v>1508</v>
      </c>
    </row>
    <row r="94" customFormat="false" ht="15" hidden="false" customHeight="false" outlineLevel="0" collapsed="false">
      <c r="A94" s="8" t="n">
        <v>165</v>
      </c>
      <c r="B94" s="8" t="s">
        <v>1508</v>
      </c>
    </row>
    <row r="95" customFormat="false" ht="15" hidden="false" customHeight="false" outlineLevel="0" collapsed="false">
      <c r="A95" s="8" t="n">
        <v>181</v>
      </c>
      <c r="B95" s="8" t="s">
        <v>1508</v>
      </c>
    </row>
    <row r="96" customFormat="false" ht="15" hidden="false" customHeight="false" outlineLevel="0" collapsed="false">
      <c r="A96" s="8" t="n">
        <v>192</v>
      </c>
      <c r="B96" s="8" t="s">
        <v>1508</v>
      </c>
    </row>
    <row r="97" customFormat="false" ht="15" hidden="false" customHeight="false" outlineLevel="0" collapsed="false">
      <c r="A97" s="8" t="n">
        <v>4</v>
      </c>
      <c r="B97" s="8" t="s">
        <v>1509</v>
      </c>
    </row>
    <row r="98" customFormat="false" ht="15" hidden="false" customHeight="false" outlineLevel="0" collapsed="false">
      <c r="A98" s="8" t="n">
        <v>11</v>
      </c>
      <c r="B98" s="8" t="s">
        <v>1509</v>
      </c>
    </row>
    <row r="99" customFormat="false" ht="15" hidden="false" customHeight="false" outlineLevel="0" collapsed="false">
      <c r="A99" s="8" t="n">
        <v>66</v>
      </c>
      <c r="B99" s="8" t="s">
        <v>1509</v>
      </c>
    </row>
    <row r="100" customFormat="false" ht="15" hidden="false" customHeight="false" outlineLevel="0" collapsed="false">
      <c r="A100" s="8" t="n">
        <v>72</v>
      </c>
      <c r="B100" s="8" t="s">
        <v>1509</v>
      </c>
    </row>
    <row r="101" customFormat="false" ht="15" hidden="false" customHeight="false" outlineLevel="0" collapsed="false">
      <c r="A101" s="8" t="n">
        <v>82</v>
      </c>
      <c r="B101" s="8" t="s">
        <v>1509</v>
      </c>
    </row>
    <row r="102" customFormat="false" ht="15" hidden="false" customHeight="false" outlineLevel="0" collapsed="false">
      <c r="A102" s="8" t="n">
        <v>100</v>
      </c>
      <c r="B102" s="8" t="s">
        <v>1509</v>
      </c>
    </row>
    <row r="103" customFormat="false" ht="15" hidden="false" customHeight="false" outlineLevel="0" collapsed="false">
      <c r="A103" s="8" t="n">
        <v>125</v>
      </c>
      <c r="B103" s="8" t="s">
        <v>1509</v>
      </c>
    </row>
    <row r="104" customFormat="false" ht="15" hidden="false" customHeight="false" outlineLevel="0" collapsed="false">
      <c r="A104" s="8" t="n">
        <v>150</v>
      </c>
      <c r="B104" s="8" t="s">
        <v>1509</v>
      </c>
    </row>
    <row r="105" customFormat="false" ht="15" hidden="false" customHeight="false" outlineLevel="0" collapsed="false">
      <c r="A105" s="8" t="n">
        <v>170</v>
      </c>
      <c r="B105" s="8" t="s">
        <v>1509</v>
      </c>
    </row>
    <row r="106" customFormat="false" ht="15" hidden="false" customHeight="false" outlineLevel="0" collapsed="false">
      <c r="A106" s="8" t="n">
        <v>171</v>
      </c>
      <c r="B106" s="8" t="s">
        <v>1509</v>
      </c>
    </row>
    <row r="107" customFormat="false" ht="15" hidden="false" customHeight="false" outlineLevel="0" collapsed="false">
      <c r="A107" s="8" t="n">
        <v>172</v>
      </c>
      <c r="B107" s="8" t="s">
        <v>1509</v>
      </c>
    </row>
    <row r="108" customFormat="false" ht="15" hidden="false" customHeight="false" outlineLevel="0" collapsed="false">
      <c r="A108" s="8" t="n">
        <v>176</v>
      </c>
      <c r="B108" s="8" t="s">
        <v>1509</v>
      </c>
    </row>
    <row r="109" customFormat="false" ht="15" hidden="false" customHeight="false" outlineLevel="0" collapsed="false">
      <c r="A109" s="8" t="n">
        <v>177</v>
      </c>
      <c r="B109" s="8" t="s">
        <v>1509</v>
      </c>
    </row>
    <row r="110" customFormat="false" ht="15" hidden="false" customHeight="false" outlineLevel="0" collapsed="false">
      <c r="A110" s="8" t="n">
        <v>178</v>
      </c>
      <c r="B110" s="8" t="s">
        <v>1509</v>
      </c>
    </row>
    <row r="111" customFormat="false" ht="15" hidden="false" customHeight="false" outlineLevel="0" collapsed="false">
      <c r="A111" s="8" t="n">
        <v>179</v>
      </c>
      <c r="B111" s="8" t="s">
        <v>1509</v>
      </c>
    </row>
    <row r="112" customFormat="false" ht="15" hidden="false" customHeight="false" outlineLevel="0" collapsed="false">
      <c r="A112" s="8" t="n">
        <v>185</v>
      </c>
      <c r="B112" s="8" t="s">
        <v>1509</v>
      </c>
    </row>
    <row r="113" customFormat="false" ht="15" hidden="false" customHeight="false" outlineLevel="0" collapsed="false">
      <c r="A113" s="8" t="n">
        <v>186</v>
      </c>
      <c r="B113" s="8" t="s">
        <v>1509</v>
      </c>
    </row>
    <row r="114" customFormat="false" ht="15" hidden="false" customHeight="false" outlineLevel="0" collapsed="false">
      <c r="A114" s="8" t="n">
        <v>194</v>
      </c>
      <c r="B114" s="8" t="s">
        <v>1509</v>
      </c>
    </row>
    <row r="115" customFormat="false" ht="15" hidden="false" customHeight="false" outlineLevel="0" collapsed="false">
      <c r="A115" s="8" t="n">
        <v>6</v>
      </c>
      <c r="B115" s="8" t="s">
        <v>1510</v>
      </c>
    </row>
    <row r="116" customFormat="false" ht="15" hidden="false" customHeight="false" outlineLevel="0" collapsed="false">
      <c r="A116" s="8" t="n">
        <v>7</v>
      </c>
      <c r="B116" s="8" t="s">
        <v>1510</v>
      </c>
    </row>
    <row r="117" customFormat="false" ht="15" hidden="false" customHeight="false" outlineLevel="0" collapsed="false">
      <c r="A117" s="8" t="n">
        <v>8</v>
      </c>
      <c r="B117" s="8" t="s">
        <v>1510</v>
      </c>
    </row>
    <row r="118" customFormat="false" ht="15" hidden="false" customHeight="false" outlineLevel="0" collapsed="false">
      <c r="A118" s="8" t="n">
        <v>14</v>
      </c>
      <c r="B118" s="8" t="s">
        <v>1510</v>
      </c>
    </row>
    <row r="119" customFormat="false" ht="15" hidden="false" customHeight="false" outlineLevel="0" collapsed="false">
      <c r="A119" s="8" t="n">
        <v>17</v>
      </c>
      <c r="B119" s="8" t="s">
        <v>1510</v>
      </c>
    </row>
    <row r="120" customFormat="false" ht="15" hidden="false" customHeight="false" outlineLevel="0" collapsed="false">
      <c r="A120" s="8" t="n">
        <v>25</v>
      </c>
      <c r="B120" s="8" t="s">
        <v>1510</v>
      </c>
    </row>
    <row r="121" customFormat="false" ht="15" hidden="false" customHeight="false" outlineLevel="0" collapsed="false">
      <c r="A121" s="8" t="n">
        <v>27</v>
      </c>
      <c r="B121" s="8" t="s">
        <v>1510</v>
      </c>
    </row>
    <row r="122" customFormat="false" ht="15" hidden="false" customHeight="false" outlineLevel="0" collapsed="false">
      <c r="A122" s="8" t="n">
        <v>28</v>
      </c>
      <c r="B122" s="8" t="s">
        <v>1510</v>
      </c>
    </row>
    <row r="123" customFormat="false" ht="15" hidden="false" customHeight="false" outlineLevel="0" collapsed="false">
      <c r="A123" s="8" t="n">
        <v>31</v>
      </c>
      <c r="B123" s="8" t="s">
        <v>1510</v>
      </c>
    </row>
    <row r="124" customFormat="false" ht="15" hidden="false" customHeight="false" outlineLevel="0" collapsed="false">
      <c r="A124" s="8" t="n">
        <v>38</v>
      </c>
      <c r="B124" s="8" t="s">
        <v>1510</v>
      </c>
    </row>
    <row r="125" customFormat="false" ht="15" hidden="false" customHeight="false" outlineLevel="0" collapsed="false">
      <c r="A125" s="8" t="n">
        <v>39</v>
      </c>
      <c r="B125" s="8" t="s">
        <v>1510</v>
      </c>
    </row>
    <row r="126" customFormat="false" ht="15" hidden="false" customHeight="false" outlineLevel="0" collapsed="false">
      <c r="A126" s="8" t="n">
        <v>41</v>
      </c>
      <c r="B126" s="8" t="s">
        <v>1510</v>
      </c>
    </row>
    <row r="127" customFormat="false" ht="15" hidden="false" customHeight="false" outlineLevel="0" collapsed="false">
      <c r="A127" s="8" t="n">
        <v>47</v>
      </c>
      <c r="B127" s="8" t="s">
        <v>1510</v>
      </c>
    </row>
    <row r="128" customFormat="false" ht="15" hidden="false" customHeight="false" outlineLevel="0" collapsed="false">
      <c r="A128" s="8" t="n">
        <v>50</v>
      </c>
      <c r="B128" s="8" t="s">
        <v>1510</v>
      </c>
    </row>
    <row r="129" customFormat="false" ht="15" hidden="false" customHeight="false" outlineLevel="0" collapsed="false">
      <c r="A129" s="8" t="n">
        <v>55</v>
      </c>
      <c r="B129" s="8" t="s">
        <v>1510</v>
      </c>
    </row>
    <row r="130" customFormat="false" ht="15" hidden="false" customHeight="false" outlineLevel="0" collapsed="false">
      <c r="A130" s="8" t="n">
        <v>60</v>
      </c>
      <c r="B130" s="8" t="s">
        <v>1510</v>
      </c>
    </row>
    <row r="131" customFormat="false" ht="15" hidden="false" customHeight="false" outlineLevel="0" collapsed="false">
      <c r="A131" s="8" t="n">
        <v>63</v>
      </c>
      <c r="B131" s="8" t="s">
        <v>1510</v>
      </c>
    </row>
    <row r="132" customFormat="false" ht="15" hidden="false" customHeight="false" outlineLevel="0" collapsed="false">
      <c r="A132" s="8" t="n">
        <v>71</v>
      </c>
      <c r="B132" s="8" t="s">
        <v>1510</v>
      </c>
    </row>
    <row r="133" customFormat="false" ht="15" hidden="false" customHeight="false" outlineLevel="0" collapsed="false">
      <c r="A133" s="8" t="n">
        <v>88</v>
      </c>
      <c r="B133" s="8" t="s">
        <v>1510</v>
      </c>
    </row>
    <row r="134" customFormat="false" ht="15" hidden="false" customHeight="false" outlineLevel="0" collapsed="false">
      <c r="A134" s="8" t="n">
        <v>97</v>
      </c>
      <c r="B134" s="8" t="s">
        <v>1510</v>
      </c>
    </row>
    <row r="135" customFormat="false" ht="15" hidden="false" customHeight="false" outlineLevel="0" collapsed="false">
      <c r="A135" s="8" t="n">
        <v>100</v>
      </c>
      <c r="B135" s="8" t="s">
        <v>1510</v>
      </c>
    </row>
    <row r="136" customFormat="false" ht="15" hidden="false" customHeight="false" outlineLevel="0" collapsed="false">
      <c r="A136" s="8" t="n">
        <v>102</v>
      </c>
      <c r="B136" s="8" t="s">
        <v>1510</v>
      </c>
    </row>
    <row r="137" customFormat="false" ht="15" hidden="false" customHeight="false" outlineLevel="0" collapsed="false">
      <c r="A137" s="8" t="n">
        <v>114</v>
      </c>
      <c r="B137" s="8" t="s">
        <v>1510</v>
      </c>
    </row>
    <row r="138" customFormat="false" ht="15" hidden="false" customHeight="false" outlineLevel="0" collapsed="false">
      <c r="A138" s="8" t="n">
        <v>119</v>
      </c>
      <c r="B138" s="8" t="s">
        <v>1510</v>
      </c>
    </row>
    <row r="139" customFormat="false" ht="15" hidden="false" customHeight="false" outlineLevel="0" collapsed="false">
      <c r="A139" s="8" t="n">
        <v>127</v>
      </c>
      <c r="B139" s="8" t="s">
        <v>1510</v>
      </c>
    </row>
    <row r="140" customFormat="false" ht="15" hidden="false" customHeight="false" outlineLevel="0" collapsed="false">
      <c r="A140" s="8" t="n">
        <v>128</v>
      </c>
      <c r="B140" s="8" t="s">
        <v>1510</v>
      </c>
    </row>
    <row r="141" customFormat="false" ht="15" hidden="false" customHeight="false" outlineLevel="0" collapsed="false">
      <c r="A141" s="8" t="n">
        <v>140</v>
      </c>
      <c r="B141" s="8" t="s">
        <v>1510</v>
      </c>
    </row>
    <row r="142" customFormat="false" ht="15" hidden="false" customHeight="false" outlineLevel="0" collapsed="false">
      <c r="A142" s="8" t="n">
        <v>144</v>
      </c>
      <c r="B142" s="8" t="s">
        <v>1510</v>
      </c>
    </row>
    <row r="143" customFormat="false" ht="15" hidden="false" customHeight="false" outlineLevel="0" collapsed="false">
      <c r="A143" s="8" t="n">
        <v>145</v>
      </c>
      <c r="B143" s="8" t="s">
        <v>1510</v>
      </c>
    </row>
    <row r="144" customFormat="false" ht="15" hidden="false" customHeight="false" outlineLevel="0" collapsed="false">
      <c r="A144" s="8" t="n">
        <v>146</v>
      </c>
      <c r="B144" s="8" t="s">
        <v>1510</v>
      </c>
    </row>
    <row r="145" customFormat="false" ht="15" hidden="false" customHeight="false" outlineLevel="0" collapsed="false">
      <c r="A145" s="8" t="n">
        <v>154</v>
      </c>
      <c r="B145" s="8" t="s">
        <v>1510</v>
      </c>
    </row>
    <row r="146" customFormat="false" ht="15" hidden="false" customHeight="false" outlineLevel="0" collapsed="false">
      <c r="A146" s="8" t="n">
        <v>159</v>
      </c>
      <c r="B146" s="8" t="s">
        <v>1510</v>
      </c>
    </row>
    <row r="147" customFormat="false" ht="15" hidden="false" customHeight="false" outlineLevel="0" collapsed="false">
      <c r="A147" s="8" t="n">
        <v>167</v>
      </c>
      <c r="B147" s="8" t="s">
        <v>1510</v>
      </c>
    </row>
    <row r="148" customFormat="false" ht="15" hidden="false" customHeight="false" outlineLevel="0" collapsed="false">
      <c r="A148" s="8" t="n">
        <v>170</v>
      </c>
      <c r="B148" s="8" t="s">
        <v>1510</v>
      </c>
    </row>
    <row r="149" customFormat="false" ht="15" hidden="false" customHeight="false" outlineLevel="0" collapsed="false">
      <c r="A149" s="8" t="n">
        <v>171</v>
      </c>
      <c r="B149" s="8" t="s">
        <v>1510</v>
      </c>
    </row>
    <row r="150" customFormat="false" ht="15" hidden="false" customHeight="false" outlineLevel="0" collapsed="false">
      <c r="A150" s="8" t="n">
        <v>172</v>
      </c>
      <c r="B150" s="8" t="s">
        <v>1510</v>
      </c>
    </row>
    <row r="151" customFormat="false" ht="15" hidden="false" customHeight="false" outlineLevel="0" collapsed="false">
      <c r="A151" s="8" t="n">
        <v>176</v>
      </c>
      <c r="B151" s="8" t="s">
        <v>1510</v>
      </c>
    </row>
    <row r="152" customFormat="false" ht="15" hidden="false" customHeight="false" outlineLevel="0" collapsed="false">
      <c r="A152" s="8" t="n">
        <v>177</v>
      </c>
      <c r="B152" s="8" t="s">
        <v>1510</v>
      </c>
    </row>
    <row r="153" customFormat="false" ht="15" hidden="false" customHeight="false" outlineLevel="0" collapsed="false">
      <c r="A153" s="8" t="n">
        <v>178</v>
      </c>
      <c r="B153" s="8" t="s">
        <v>1510</v>
      </c>
    </row>
    <row r="154" customFormat="false" ht="15" hidden="false" customHeight="false" outlineLevel="0" collapsed="false">
      <c r="A154" s="8" t="n">
        <v>179</v>
      </c>
      <c r="B154" s="8" t="s">
        <v>1510</v>
      </c>
    </row>
    <row r="155" customFormat="false" ht="15" hidden="false" customHeight="false" outlineLevel="0" collapsed="false">
      <c r="A155" s="8" t="n">
        <v>185</v>
      </c>
      <c r="B155" s="8" t="s">
        <v>1510</v>
      </c>
    </row>
    <row r="156" customFormat="false" ht="15" hidden="false" customHeight="false" outlineLevel="0" collapsed="false">
      <c r="A156" s="8" t="n">
        <v>186</v>
      </c>
      <c r="B156" s="8" t="s">
        <v>1510</v>
      </c>
    </row>
    <row r="157" customFormat="false" ht="15" hidden="false" customHeight="false" outlineLevel="0" collapsed="false">
      <c r="A157" s="8" t="n">
        <v>194</v>
      </c>
      <c r="B157" s="8" t="s">
        <v>1510</v>
      </c>
    </row>
    <row r="158" customFormat="false" ht="15" hidden="false" customHeight="false" outlineLevel="0" collapsed="false">
      <c r="A158" s="8" t="n">
        <v>213</v>
      </c>
      <c r="B158" s="8" t="s">
        <v>1510</v>
      </c>
    </row>
    <row r="159" customFormat="false" ht="15" hidden="false" customHeight="false" outlineLevel="0" collapsed="false">
      <c r="A159" s="8" t="n">
        <v>9</v>
      </c>
      <c r="B159" s="8" t="s">
        <v>1511</v>
      </c>
    </row>
    <row r="160" customFormat="false" ht="15" hidden="false" customHeight="false" outlineLevel="0" collapsed="false">
      <c r="A160" s="8" t="n">
        <v>44</v>
      </c>
      <c r="B160" s="8" t="s">
        <v>1511</v>
      </c>
    </row>
    <row r="161" customFormat="false" ht="15" hidden="false" customHeight="false" outlineLevel="0" collapsed="false">
      <c r="A161" s="8" t="n">
        <v>61</v>
      </c>
      <c r="B161" s="8" t="s">
        <v>1511</v>
      </c>
    </row>
    <row r="162" customFormat="false" ht="15" hidden="false" customHeight="false" outlineLevel="0" collapsed="false">
      <c r="A162" s="8" t="n">
        <v>79</v>
      </c>
      <c r="B162" s="8" t="s">
        <v>1511</v>
      </c>
    </row>
    <row r="163" customFormat="false" ht="15" hidden="false" customHeight="false" outlineLevel="0" collapsed="false">
      <c r="A163" s="8" t="n">
        <v>88</v>
      </c>
      <c r="B163" s="8" t="s">
        <v>1511</v>
      </c>
    </row>
    <row r="164" customFormat="false" ht="15" hidden="false" customHeight="false" outlineLevel="0" collapsed="false">
      <c r="A164" s="8" t="n">
        <v>101</v>
      </c>
      <c r="B164" s="8" t="s">
        <v>1511</v>
      </c>
    </row>
    <row r="165" customFormat="false" ht="15" hidden="false" customHeight="false" outlineLevel="0" collapsed="false">
      <c r="A165" s="8" t="n">
        <v>107</v>
      </c>
      <c r="B165" s="8" t="s">
        <v>1511</v>
      </c>
    </row>
    <row r="166" customFormat="false" ht="15" hidden="false" customHeight="false" outlineLevel="0" collapsed="false">
      <c r="A166" s="8" t="n">
        <v>143</v>
      </c>
      <c r="B166" s="8" t="s">
        <v>1511</v>
      </c>
    </row>
    <row r="167" customFormat="false" ht="15" hidden="false" customHeight="false" outlineLevel="0" collapsed="false">
      <c r="A167" s="8" t="n">
        <v>166</v>
      </c>
      <c r="B167" s="8" t="s">
        <v>1511</v>
      </c>
    </row>
    <row r="168" customFormat="false" ht="15" hidden="false" customHeight="false" outlineLevel="0" collapsed="false">
      <c r="A168" s="8" t="n">
        <v>175</v>
      </c>
      <c r="B168" s="8" t="s">
        <v>1511</v>
      </c>
    </row>
    <row r="169" customFormat="false" ht="15" hidden="false" customHeight="false" outlineLevel="0" collapsed="false">
      <c r="A169" s="8" t="n">
        <v>229</v>
      </c>
      <c r="B169" s="8" t="s">
        <v>1511</v>
      </c>
    </row>
    <row r="170" customFormat="false" ht="15" hidden="false" customHeight="false" outlineLevel="0" collapsed="false">
      <c r="A170" s="8" t="n">
        <v>89</v>
      </c>
      <c r="B170" s="8" t="s">
        <v>1512</v>
      </c>
    </row>
    <row r="171" customFormat="false" ht="15" hidden="false" customHeight="false" outlineLevel="0" collapsed="false">
      <c r="A171" s="8" t="n">
        <v>59</v>
      </c>
      <c r="B171" s="8" t="s">
        <v>1513</v>
      </c>
    </row>
    <row r="172" customFormat="false" ht="15" hidden="false" customHeight="false" outlineLevel="0" collapsed="false">
      <c r="A172" s="8" t="n">
        <v>216</v>
      </c>
      <c r="B172" s="8" t="s">
        <v>1514</v>
      </c>
    </row>
    <row r="173" customFormat="false" ht="15" hidden="false" customHeight="false" outlineLevel="0" collapsed="false">
      <c r="A173" s="8" t="n">
        <v>217</v>
      </c>
      <c r="B173" s="8" t="s">
        <v>1514</v>
      </c>
    </row>
    <row r="174" customFormat="false" ht="15" hidden="false" customHeight="false" outlineLevel="0" collapsed="false">
      <c r="A174" s="8" t="n">
        <v>4</v>
      </c>
      <c r="B174" s="8" t="s">
        <v>1515</v>
      </c>
    </row>
    <row r="175" customFormat="false" ht="15" hidden="false" customHeight="false" outlineLevel="0" collapsed="false">
      <c r="A175" s="8" t="n">
        <v>41</v>
      </c>
      <c r="B175" s="8" t="s">
        <v>1515</v>
      </c>
    </row>
    <row r="176" customFormat="false" ht="15" hidden="false" customHeight="false" outlineLevel="0" collapsed="false">
      <c r="A176" s="8" t="n">
        <v>43</v>
      </c>
      <c r="B176" s="8" t="s">
        <v>1515</v>
      </c>
    </row>
    <row r="177" customFormat="false" ht="15" hidden="false" customHeight="false" outlineLevel="0" collapsed="false">
      <c r="A177" s="8" t="n">
        <v>53</v>
      </c>
      <c r="B177" s="8" t="s">
        <v>1515</v>
      </c>
    </row>
    <row r="178" customFormat="false" ht="15" hidden="false" customHeight="false" outlineLevel="0" collapsed="false">
      <c r="A178" s="8" t="n">
        <v>72</v>
      </c>
      <c r="B178" s="8" t="s">
        <v>1515</v>
      </c>
    </row>
    <row r="179" customFormat="false" ht="15" hidden="false" customHeight="false" outlineLevel="0" collapsed="false">
      <c r="A179" s="8" t="n">
        <v>75</v>
      </c>
      <c r="B179" s="8" t="s">
        <v>1515</v>
      </c>
    </row>
    <row r="180" customFormat="false" ht="15" hidden="false" customHeight="false" outlineLevel="0" collapsed="false">
      <c r="A180" s="8" t="n">
        <v>103</v>
      </c>
      <c r="B180" s="8" t="s">
        <v>1515</v>
      </c>
    </row>
    <row r="181" customFormat="false" ht="15" hidden="false" customHeight="false" outlineLevel="0" collapsed="false">
      <c r="A181" s="8" t="n">
        <v>222</v>
      </c>
      <c r="B181" s="8" t="s">
        <v>1515</v>
      </c>
    </row>
    <row r="182" customFormat="false" ht="15" hidden="false" customHeight="false" outlineLevel="0" collapsed="false">
      <c r="A182" s="8" t="n">
        <v>2</v>
      </c>
      <c r="B182" s="8" t="s">
        <v>1516</v>
      </c>
    </row>
    <row r="183" customFormat="false" ht="15" hidden="false" customHeight="false" outlineLevel="0" collapsed="false">
      <c r="A183" s="8" t="n">
        <v>2</v>
      </c>
      <c r="B183" s="8" t="s">
        <v>1517</v>
      </c>
    </row>
    <row r="184" customFormat="false" ht="15" hidden="false" customHeight="false" outlineLevel="0" collapsed="false">
      <c r="A184" s="8" t="n">
        <v>106</v>
      </c>
      <c r="B184" s="8" t="s">
        <v>1517</v>
      </c>
    </row>
    <row r="185" customFormat="false" ht="15" hidden="false" customHeight="false" outlineLevel="0" collapsed="false">
      <c r="A185" s="8" t="n">
        <v>3</v>
      </c>
      <c r="B185" s="8" t="s">
        <v>1518</v>
      </c>
    </row>
    <row r="186" customFormat="false" ht="15" hidden="false" customHeight="false" outlineLevel="0" collapsed="false">
      <c r="A186" s="8" t="n">
        <v>5</v>
      </c>
      <c r="B186" s="8" t="s">
        <v>1518</v>
      </c>
    </row>
    <row r="187" customFormat="false" ht="15" hidden="false" customHeight="false" outlineLevel="0" collapsed="false">
      <c r="A187" s="8" t="n">
        <v>6</v>
      </c>
      <c r="B187" s="8" t="s">
        <v>1518</v>
      </c>
    </row>
    <row r="188" customFormat="false" ht="15" hidden="false" customHeight="false" outlineLevel="0" collapsed="false">
      <c r="A188" s="8" t="n">
        <v>11</v>
      </c>
      <c r="B188" s="8" t="s">
        <v>1518</v>
      </c>
    </row>
    <row r="189" customFormat="false" ht="15" hidden="false" customHeight="false" outlineLevel="0" collapsed="false">
      <c r="A189" s="8" t="n">
        <v>13</v>
      </c>
      <c r="B189" s="8" t="s">
        <v>1518</v>
      </c>
    </row>
    <row r="190" customFormat="false" ht="15" hidden="false" customHeight="false" outlineLevel="0" collapsed="false">
      <c r="A190" s="8" t="n">
        <v>19</v>
      </c>
      <c r="B190" s="8" t="s">
        <v>1518</v>
      </c>
    </row>
    <row r="191" customFormat="false" ht="15" hidden="false" customHeight="false" outlineLevel="0" collapsed="false">
      <c r="A191" s="8" t="n">
        <v>26</v>
      </c>
      <c r="B191" s="8" t="s">
        <v>1518</v>
      </c>
    </row>
    <row r="192" customFormat="false" ht="15" hidden="false" customHeight="false" outlineLevel="0" collapsed="false">
      <c r="A192" s="8" t="n">
        <v>28</v>
      </c>
      <c r="B192" s="8" t="s">
        <v>1518</v>
      </c>
    </row>
    <row r="193" customFormat="false" ht="15" hidden="false" customHeight="false" outlineLevel="0" collapsed="false">
      <c r="A193" s="8" t="n">
        <v>29</v>
      </c>
      <c r="B193" s="8" t="s">
        <v>1518</v>
      </c>
    </row>
    <row r="194" customFormat="false" ht="15" hidden="false" customHeight="false" outlineLevel="0" collapsed="false">
      <c r="A194" s="8" t="n">
        <v>31</v>
      </c>
      <c r="B194" s="8" t="s">
        <v>1518</v>
      </c>
    </row>
    <row r="195" customFormat="false" ht="15" hidden="false" customHeight="false" outlineLevel="0" collapsed="false">
      <c r="A195" s="8" t="n">
        <v>32</v>
      </c>
      <c r="B195" s="8" t="s">
        <v>1518</v>
      </c>
    </row>
    <row r="196" customFormat="false" ht="15" hidden="false" customHeight="false" outlineLevel="0" collapsed="false">
      <c r="A196" s="8" t="n">
        <v>33</v>
      </c>
      <c r="B196" s="8" t="s">
        <v>1518</v>
      </c>
    </row>
    <row r="197" customFormat="false" ht="15" hidden="false" customHeight="false" outlineLevel="0" collapsed="false">
      <c r="A197" s="8" t="n">
        <v>35</v>
      </c>
      <c r="B197" s="8" t="s">
        <v>1518</v>
      </c>
    </row>
    <row r="198" customFormat="false" ht="15" hidden="false" customHeight="false" outlineLevel="0" collapsed="false">
      <c r="A198" s="8" t="n">
        <v>47</v>
      </c>
      <c r="B198" s="8" t="s">
        <v>1518</v>
      </c>
    </row>
    <row r="199" customFormat="false" ht="15" hidden="false" customHeight="false" outlineLevel="0" collapsed="false">
      <c r="A199" s="8" t="n">
        <v>48</v>
      </c>
      <c r="B199" s="8" t="s">
        <v>1518</v>
      </c>
    </row>
    <row r="200" customFormat="false" ht="15" hidden="false" customHeight="false" outlineLevel="0" collapsed="false">
      <c r="A200" s="8" t="n">
        <v>53</v>
      </c>
      <c r="B200" s="8" t="s">
        <v>1518</v>
      </c>
    </row>
    <row r="201" customFormat="false" ht="15" hidden="false" customHeight="false" outlineLevel="0" collapsed="false">
      <c r="A201" s="8" t="n">
        <v>57</v>
      </c>
      <c r="B201" s="8" t="s">
        <v>1518</v>
      </c>
    </row>
    <row r="202" customFormat="false" ht="15" hidden="false" customHeight="false" outlineLevel="0" collapsed="false">
      <c r="A202" s="8" t="n">
        <v>58</v>
      </c>
      <c r="B202" s="8" t="s">
        <v>1518</v>
      </c>
    </row>
    <row r="203" customFormat="false" ht="15" hidden="false" customHeight="false" outlineLevel="0" collapsed="false">
      <c r="A203" s="8" t="n">
        <v>61</v>
      </c>
      <c r="B203" s="8" t="s">
        <v>1518</v>
      </c>
    </row>
    <row r="204" customFormat="false" ht="15" hidden="false" customHeight="false" outlineLevel="0" collapsed="false">
      <c r="A204" s="8" t="n">
        <v>63</v>
      </c>
      <c r="B204" s="8" t="s">
        <v>1518</v>
      </c>
    </row>
    <row r="205" customFormat="false" ht="15" hidden="false" customHeight="false" outlineLevel="0" collapsed="false">
      <c r="A205" s="8" t="n">
        <v>64</v>
      </c>
      <c r="B205" s="8" t="s">
        <v>1518</v>
      </c>
    </row>
    <row r="206" customFormat="false" ht="15" hidden="false" customHeight="false" outlineLevel="0" collapsed="false">
      <c r="A206" s="8" t="n">
        <v>68</v>
      </c>
      <c r="B206" s="8" t="s">
        <v>1518</v>
      </c>
    </row>
    <row r="207" customFormat="false" ht="15" hidden="false" customHeight="false" outlineLevel="0" collapsed="false">
      <c r="A207" s="8" t="n">
        <v>74</v>
      </c>
      <c r="B207" s="8" t="s">
        <v>1518</v>
      </c>
    </row>
    <row r="208" customFormat="false" ht="15" hidden="false" customHeight="false" outlineLevel="0" collapsed="false">
      <c r="A208" s="8" t="n">
        <v>77</v>
      </c>
      <c r="B208" s="8" t="s">
        <v>1518</v>
      </c>
    </row>
    <row r="209" customFormat="false" ht="15" hidden="false" customHeight="false" outlineLevel="0" collapsed="false">
      <c r="A209" s="8" t="n">
        <v>78</v>
      </c>
      <c r="B209" s="8" t="s">
        <v>1518</v>
      </c>
    </row>
    <row r="210" customFormat="false" ht="15" hidden="false" customHeight="false" outlineLevel="0" collapsed="false">
      <c r="A210" s="8" t="n">
        <v>92</v>
      </c>
      <c r="B210" s="8" t="s">
        <v>1518</v>
      </c>
    </row>
    <row r="211" customFormat="false" ht="15" hidden="false" customHeight="false" outlineLevel="0" collapsed="false">
      <c r="A211" s="8" t="n">
        <v>95</v>
      </c>
      <c r="B211" s="8" t="s">
        <v>1518</v>
      </c>
    </row>
    <row r="212" customFormat="false" ht="15" hidden="false" customHeight="false" outlineLevel="0" collapsed="false">
      <c r="A212" s="8" t="n">
        <v>96</v>
      </c>
      <c r="B212" s="8" t="s">
        <v>1518</v>
      </c>
    </row>
    <row r="213" customFormat="false" ht="15" hidden="false" customHeight="false" outlineLevel="0" collapsed="false">
      <c r="A213" s="8" t="n">
        <v>97</v>
      </c>
      <c r="B213" s="8" t="s">
        <v>1518</v>
      </c>
    </row>
    <row r="214" customFormat="false" ht="15" hidden="false" customHeight="false" outlineLevel="0" collapsed="false">
      <c r="A214" s="8" t="n">
        <v>99</v>
      </c>
      <c r="B214" s="8" t="s">
        <v>1518</v>
      </c>
    </row>
    <row r="215" customFormat="false" ht="15" hidden="false" customHeight="false" outlineLevel="0" collapsed="false">
      <c r="A215" s="8" t="n">
        <v>105</v>
      </c>
      <c r="B215" s="8" t="s">
        <v>1518</v>
      </c>
    </row>
    <row r="216" customFormat="false" ht="15" hidden="false" customHeight="false" outlineLevel="0" collapsed="false">
      <c r="A216" s="8" t="n">
        <v>113</v>
      </c>
      <c r="B216" s="8" t="s">
        <v>1518</v>
      </c>
    </row>
    <row r="217" customFormat="false" ht="15" hidden="false" customHeight="false" outlineLevel="0" collapsed="false">
      <c r="A217" s="8" t="n">
        <v>125</v>
      </c>
      <c r="B217" s="8" t="s">
        <v>1518</v>
      </c>
    </row>
    <row r="218" customFormat="false" ht="15" hidden="false" customHeight="false" outlineLevel="0" collapsed="false">
      <c r="A218" s="8" t="n">
        <v>128</v>
      </c>
      <c r="B218" s="8" t="s">
        <v>1518</v>
      </c>
    </row>
    <row r="219" customFormat="false" ht="15" hidden="false" customHeight="false" outlineLevel="0" collapsed="false">
      <c r="A219" s="8" t="n">
        <v>129</v>
      </c>
      <c r="B219" s="8" t="s">
        <v>1518</v>
      </c>
    </row>
    <row r="220" customFormat="false" ht="15" hidden="false" customHeight="false" outlineLevel="0" collapsed="false">
      <c r="A220" s="8" t="n">
        <v>130</v>
      </c>
      <c r="B220" s="8" t="s">
        <v>1518</v>
      </c>
    </row>
    <row r="221" customFormat="false" ht="15" hidden="false" customHeight="false" outlineLevel="0" collapsed="false">
      <c r="A221" s="8" t="n">
        <v>131</v>
      </c>
      <c r="B221" s="8" t="s">
        <v>1518</v>
      </c>
    </row>
    <row r="222" customFormat="false" ht="15" hidden="false" customHeight="false" outlineLevel="0" collapsed="false">
      <c r="A222" s="8" t="n">
        <v>142</v>
      </c>
      <c r="B222" s="8" t="s">
        <v>1518</v>
      </c>
    </row>
    <row r="223" customFormat="false" ht="15" hidden="false" customHeight="false" outlineLevel="0" collapsed="false">
      <c r="A223" s="8" t="n">
        <v>148</v>
      </c>
      <c r="B223" s="8" t="s">
        <v>1518</v>
      </c>
    </row>
    <row r="224" customFormat="false" ht="15" hidden="false" customHeight="false" outlineLevel="0" collapsed="false">
      <c r="A224" s="8" t="n">
        <v>160</v>
      </c>
      <c r="B224" s="8" t="s">
        <v>1518</v>
      </c>
    </row>
    <row r="225" customFormat="false" ht="15" hidden="false" customHeight="false" outlineLevel="0" collapsed="false">
      <c r="A225" s="8" t="n">
        <v>167</v>
      </c>
      <c r="B225" s="8" t="s">
        <v>1518</v>
      </c>
    </row>
    <row r="226" customFormat="false" ht="15" hidden="false" customHeight="false" outlineLevel="0" collapsed="false">
      <c r="A226" s="8" t="n">
        <v>183</v>
      </c>
      <c r="B226" s="8" t="s">
        <v>1518</v>
      </c>
    </row>
    <row r="227" customFormat="false" ht="15" hidden="false" customHeight="false" outlineLevel="0" collapsed="false">
      <c r="A227" s="8" t="n">
        <v>188</v>
      </c>
      <c r="B227" s="8" t="s">
        <v>1518</v>
      </c>
    </row>
    <row r="228" customFormat="false" ht="15" hidden="false" customHeight="false" outlineLevel="0" collapsed="false">
      <c r="A228" s="8" t="n">
        <v>193</v>
      </c>
      <c r="B228" s="8" t="s">
        <v>1518</v>
      </c>
    </row>
    <row r="229" customFormat="false" ht="15" hidden="false" customHeight="false" outlineLevel="0" collapsed="false">
      <c r="A229" s="8" t="n">
        <v>197</v>
      </c>
      <c r="B229" s="8" t="s">
        <v>1518</v>
      </c>
    </row>
    <row r="230" customFormat="false" ht="15" hidden="false" customHeight="false" outlineLevel="0" collapsed="false">
      <c r="A230" s="8" t="n">
        <v>201</v>
      </c>
      <c r="B230" s="8" t="s">
        <v>1518</v>
      </c>
    </row>
    <row r="231" customFormat="false" ht="15" hidden="false" customHeight="false" outlineLevel="0" collapsed="false">
      <c r="A231" s="8" t="n">
        <v>202</v>
      </c>
      <c r="B231" s="8" t="s">
        <v>1518</v>
      </c>
    </row>
    <row r="232" customFormat="false" ht="15" hidden="false" customHeight="false" outlineLevel="0" collapsed="false">
      <c r="A232" s="8" t="n">
        <v>208</v>
      </c>
      <c r="B232" s="8" t="s">
        <v>1518</v>
      </c>
    </row>
    <row r="233" customFormat="false" ht="15" hidden="false" customHeight="false" outlineLevel="0" collapsed="false">
      <c r="A233" s="8" t="n">
        <v>211</v>
      </c>
      <c r="B233" s="8" t="s">
        <v>1518</v>
      </c>
    </row>
    <row r="234" customFormat="false" ht="15" hidden="false" customHeight="false" outlineLevel="0" collapsed="false">
      <c r="A234" s="8" t="n">
        <v>216</v>
      </c>
      <c r="B234" s="8" t="s">
        <v>1518</v>
      </c>
    </row>
    <row r="235" customFormat="false" ht="15" hidden="false" customHeight="false" outlineLevel="0" collapsed="false">
      <c r="A235" s="8" t="n">
        <v>221</v>
      </c>
      <c r="B235" s="8" t="s">
        <v>1518</v>
      </c>
    </row>
    <row r="236" customFormat="false" ht="15" hidden="false" customHeight="false" outlineLevel="0" collapsed="false">
      <c r="A236" s="8" t="n">
        <v>224</v>
      </c>
      <c r="B236" s="8" t="s">
        <v>1518</v>
      </c>
    </row>
    <row r="237" customFormat="false" ht="15" hidden="false" customHeight="false" outlineLevel="0" collapsed="false">
      <c r="A237" s="8" t="n">
        <v>2</v>
      </c>
      <c r="B237" s="8" t="s">
        <v>1519</v>
      </c>
    </row>
    <row r="238" customFormat="false" ht="15" hidden="false" customHeight="false" outlineLevel="0" collapsed="false">
      <c r="A238" s="8" t="n">
        <v>3</v>
      </c>
      <c r="B238" s="8" t="s">
        <v>1519</v>
      </c>
    </row>
    <row r="239" customFormat="false" ht="15" hidden="false" customHeight="false" outlineLevel="0" collapsed="false">
      <c r="A239" s="8" t="n">
        <v>4</v>
      </c>
      <c r="B239" s="8" t="s">
        <v>1519</v>
      </c>
    </row>
    <row r="240" customFormat="false" ht="15" hidden="false" customHeight="false" outlineLevel="0" collapsed="false">
      <c r="A240" s="8" t="n">
        <v>5</v>
      </c>
      <c r="B240" s="8" t="s">
        <v>1519</v>
      </c>
    </row>
    <row r="241" customFormat="false" ht="15" hidden="false" customHeight="false" outlineLevel="0" collapsed="false">
      <c r="A241" s="8" t="n">
        <v>6</v>
      </c>
      <c r="B241" s="8" t="s">
        <v>1519</v>
      </c>
    </row>
    <row r="242" customFormat="false" ht="15" hidden="false" customHeight="false" outlineLevel="0" collapsed="false">
      <c r="A242" s="8" t="n">
        <v>10</v>
      </c>
      <c r="B242" s="8" t="s">
        <v>1519</v>
      </c>
    </row>
    <row r="243" customFormat="false" ht="15" hidden="false" customHeight="false" outlineLevel="0" collapsed="false">
      <c r="A243" s="8" t="n">
        <v>11</v>
      </c>
      <c r="B243" s="8" t="s">
        <v>1519</v>
      </c>
    </row>
    <row r="244" customFormat="false" ht="15" hidden="false" customHeight="false" outlineLevel="0" collapsed="false">
      <c r="A244" s="8" t="n">
        <v>13</v>
      </c>
      <c r="B244" s="8" t="s">
        <v>1519</v>
      </c>
    </row>
    <row r="245" customFormat="false" ht="15" hidden="false" customHeight="false" outlineLevel="0" collapsed="false">
      <c r="A245" s="8" t="n">
        <v>18</v>
      </c>
      <c r="B245" s="8" t="s">
        <v>1519</v>
      </c>
    </row>
    <row r="246" customFormat="false" ht="15" hidden="false" customHeight="false" outlineLevel="0" collapsed="false">
      <c r="A246" s="8" t="n">
        <v>19</v>
      </c>
      <c r="B246" s="8" t="s">
        <v>1519</v>
      </c>
    </row>
    <row r="247" customFormat="false" ht="15" hidden="false" customHeight="false" outlineLevel="0" collapsed="false">
      <c r="A247" s="8" t="n">
        <v>24</v>
      </c>
      <c r="B247" s="8" t="s">
        <v>1519</v>
      </c>
    </row>
    <row r="248" customFormat="false" ht="15" hidden="false" customHeight="false" outlineLevel="0" collapsed="false">
      <c r="A248" s="8" t="n">
        <v>25</v>
      </c>
      <c r="B248" s="8" t="s">
        <v>1519</v>
      </c>
    </row>
    <row r="249" customFormat="false" ht="15" hidden="false" customHeight="false" outlineLevel="0" collapsed="false">
      <c r="A249" s="8" t="n">
        <v>26</v>
      </c>
      <c r="B249" s="8" t="s">
        <v>1519</v>
      </c>
    </row>
    <row r="250" customFormat="false" ht="15" hidden="false" customHeight="false" outlineLevel="0" collapsed="false">
      <c r="A250" s="8" t="n">
        <v>27</v>
      </c>
      <c r="B250" s="8" t="s">
        <v>1519</v>
      </c>
    </row>
    <row r="251" customFormat="false" ht="15" hidden="false" customHeight="false" outlineLevel="0" collapsed="false">
      <c r="A251" s="8" t="n">
        <v>28</v>
      </c>
      <c r="B251" s="8" t="s">
        <v>1519</v>
      </c>
    </row>
    <row r="252" customFormat="false" ht="15" hidden="false" customHeight="false" outlineLevel="0" collapsed="false">
      <c r="A252" s="8" t="n">
        <v>29</v>
      </c>
      <c r="B252" s="8" t="s">
        <v>1519</v>
      </c>
    </row>
    <row r="253" customFormat="false" ht="15" hidden="false" customHeight="false" outlineLevel="0" collapsed="false">
      <c r="A253" s="8" t="n">
        <v>30</v>
      </c>
      <c r="B253" s="8" t="s">
        <v>1519</v>
      </c>
    </row>
    <row r="254" customFormat="false" ht="15" hidden="false" customHeight="false" outlineLevel="0" collapsed="false">
      <c r="A254" s="8" t="n">
        <v>31</v>
      </c>
      <c r="B254" s="8" t="s">
        <v>1519</v>
      </c>
    </row>
    <row r="255" customFormat="false" ht="15" hidden="false" customHeight="false" outlineLevel="0" collapsed="false">
      <c r="A255" s="8" t="n">
        <v>32</v>
      </c>
      <c r="B255" s="8" t="s">
        <v>1519</v>
      </c>
    </row>
    <row r="256" customFormat="false" ht="15" hidden="false" customHeight="false" outlineLevel="0" collapsed="false">
      <c r="A256" s="8" t="n">
        <v>33</v>
      </c>
      <c r="B256" s="8" t="s">
        <v>1519</v>
      </c>
    </row>
    <row r="257" customFormat="false" ht="15" hidden="false" customHeight="false" outlineLevel="0" collapsed="false">
      <c r="A257" s="8" t="n">
        <v>35</v>
      </c>
      <c r="B257" s="8" t="s">
        <v>1519</v>
      </c>
    </row>
    <row r="258" customFormat="false" ht="15" hidden="false" customHeight="false" outlineLevel="0" collapsed="false">
      <c r="A258" s="8" t="n">
        <v>42</v>
      </c>
      <c r="B258" s="8" t="s">
        <v>1519</v>
      </c>
    </row>
    <row r="259" customFormat="false" ht="15" hidden="false" customHeight="false" outlineLevel="0" collapsed="false">
      <c r="A259" s="8" t="n">
        <v>45</v>
      </c>
      <c r="B259" s="8" t="s">
        <v>1519</v>
      </c>
    </row>
    <row r="260" customFormat="false" ht="15" hidden="false" customHeight="false" outlineLevel="0" collapsed="false">
      <c r="A260" s="8" t="n">
        <v>47</v>
      </c>
      <c r="B260" s="8" t="s">
        <v>1519</v>
      </c>
    </row>
    <row r="261" customFormat="false" ht="15" hidden="false" customHeight="false" outlineLevel="0" collapsed="false">
      <c r="A261" s="8" t="n">
        <v>48</v>
      </c>
      <c r="B261" s="8" t="s">
        <v>1519</v>
      </c>
    </row>
    <row r="262" customFormat="false" ht="15" hidden="false" customHeight="false" outlineLevel="0" collapsed="false">
      <c r="A262" s="8" t="n">
        <v>49</v>
      </c>
      <c r="B262" s="8" t="s">
        <v>1519</v>
      </c>
    </row>
    <row r="263" customFormat="false" ht="15" hidden="false" customHeight="false" outlineLevel="0" collapsed="false">
      <c r="A263" s="8" t="n">
        <v>50</v>
      </c>
      <c r="B263" s="8" t="s">
        <v>1519</v>
      </c>
    </row>
    <row r="264" customFormat="false" ht="15" hidden="false" customHeight="false" outlineLevel="0" collapsed="false">
      <c r="A264" s="8" t="n">
        <v>51</v>
      </c>
      <c r="B264" s="8" t="s">
        <v>1519</v>
      </c>
    </row>
    <row r="265" customFormat="false" ht="15" hidden="false" customHeight="false" outlineLevel="0" collapsed="false">
      <c r="A265" s="8" t="n">
        <v>54</v>
      </c>
      <c r="B265" s="8" t="s">
        <v>1519</v>
      </c>
    </row>
    <row r="266" customFormat="false" ht="15" hidden="false" customHeight="false" outlineLevel="0" collapsed="false">
      <c r="A266" s="8" t="n">
        <v>55</v>
      </c>
      <c r="B266" s="8" t="s">
        <v>1519</v>
      </c>
    </row>
    <row r="267" customFormat="false" ht="15" hidden="false" customHeight="false" outlineLevel="0" collapsed="false">
      <c r="A267" s="8" t="n">
        <v>57</v>
      </c>
      <c r="B267" s="8" t="s">
        <v>1519</v>
      </c>
    </row>
    <row r="268" customFormat="false" ht="15" hidden="false" customHeight="false" outlineLevel="0" collapsed="false">
      <c r="A268" s="8" t="n">
        <v>58</v>
      </c>
      <c r="B268" s="8" t="s">
        <v>1519</v>
      </c>
    </row>
    <row r="269" customFormat="false" ht="15" hidden="false" customHeight="false" outlineLevel="0" collapsed="false">
      <c r="A269" s="8" t="n">
        <v>61</v>
      </c>
      <c r="B269" s="8" t="s">
        <v>1519</v>
      </c>
    </row>
    <row r="270" customFormat="false" ht="15" hidden="false" customHeight="false" outlineLevel="0" collapsed="false">
      <c r="A270" s="8" t="n">
        <v>63</v>
      </c>
      <c r="B270" s="8" t="s">
        <v>1519</v>
      </c>
    </row>
    <row r="271" customFormat="false" ht="15" hidden="false" customHeight="false" outlineLevel="0" collapsed="false">
      <c r="A271" s="8" t="n">
        <v>64</v>
      </c>
      <c r="B271" s="8" t="s">
        <v>1519</v>
      </c>
    </row>
    <row r="272" customFormat="false" ht="15" hidden="false" customHeight="false" outlineLevel="0" collapsed="false">
      <c r="A272" s="8" t="n">
        <v>66</v>
      </c>
      <c r="B272" s="8" t="s">
        <v>1519</v>
      </c>
    </row>
    <row r="273" customFormat="false" ht="15" hidden="false" customHeight="false" outlineLevel="0" collapsed="false">
      <c r="A273" s="8" t="n">
        <v>67</v>
      </c>
      <c r="B273" s="8" t="s">
        <v>1519</v>
      </c>
    </row>
    <row r="274" customFormat="false" ht="15" hidden="false" customHeight="false" outlineLevel="0" collapsed="false">
      <c r="A274" s="8" t="n">
        <v>68</v>
      </c>
      <c r="B274" s="8" t="s">
        <v>1519</v>
      </c>
    </row>
    <row r="275" customFormat="false" ht="15" hidden="false" customHeight="false" outlineLevel="0" collapsed="false">
      <c r="A275" s="8" t="n">
        <v>75</v>
      </c>
      <c r="B275" s="8" t="s">
        <v>1519</v>
      </c>
    </row>
    <row r="276" customFormat="false" ht="15" hidden="false" customHeight="false" outlineLevel="0" collapsed="false">
      <c r="A276" s="8" t="n">
        <v>76</v>
      </c>
      <c r="B276" s="8" t="s">
        <v>1519</v>
      </c>
    </row>
    <row r="277" customFormat="false" ht="15" hidden="false" customHeight="false" outlineLevel="0" collapsed="false">
      <c r="A277" s="8" t="n">
        <v>77</v>
      </c>
      <c r="B277" s="8" t="s">
        <v>1519</v>
      </c>
    </row>
    <row r="278" customFormat="false" ht="15" hidden="false" customHeight="false" outlineLevel="0" collapsed="false">
      <c r="A278" s="8" t="n">
        <v>81</v>
      </c>
      <c r="B278" s="8" t="s">
        <v>1519</v>
      </c>
    </row>
    <row r="279" customFormat="false" ht="15" hidden="false" customHeight="false" outlineLevel="0" collapsed="false">
      <c r="A279" s="8" t="n">
        <v>90</v>
      </c>
      <c r="B279" s="8" t="s">
        <v>1519</v>
      </c>
    </row>
    <row r="280" customFormat="false" ht="15" hidden="false" customHeight="false" outlineLevel="0" collapsed="false">
      <c r="A280" s="8" t="n">
        <v>91</v>
      </c>
      <c r="B280" s="8" t="s">
        <v>1519</v>
      </c>
    </row>
    <row r="281" customFormat="false" ht="15" hidden="false" customHeight="false" outlineLevel="0" collapsed="false">
      <c r="A281" s="8" t="n">
        <v>95</v>
      </c>
      <c r="B281" s="8" t="s">
        <v>1519</v>
      </c>
    </row>
    <row r="282" customFormat="false" ht="15" hidden="false" customHeight="false" outlineLevel="0" collapsed="false">
      <c r="A282" s="8" t="n">
        <v>96</v>
      </c>
      <c r="B282" s="8" t="s">
        <v>1519</v>
      </c>
    </row>
    <row r="283" customFormat="false" ht="15" hidden="false" customHeight="false" outlineLevel="0" collapsed="false">
      <c r="A283" s="8" t="n">
        <v>97</v>
      </c>
      <c r="B283" s="8" t="s">
        <v>1519</v>
      </c>
    </row>
    <row r="284" customFormat="false" ht="15" hidden="false" customHeight="false" outlineLevel="0" collapsed="false">
      <c r="A284" s="8" t="n">
        <v>98</v>
      </c>
      <c r="B284" s="8" t="s">
        <v>1519</v>
      </c>
    </row>
    <row r="285" customFormat="false" ht="15" hidden="false" customHeight="false" outlineLevel="0" collapsed="false">
      <c r="A285" s="8" t="n">
        <v>99</v>
      </c>
      <c r="B285" s="8" t="s">
        <v>1519</v>
      </c>
    </row>
    <row r="286" customFormat="false" ht="15" hidden="false" customHeight="false" outlineLevel="0" collapsed="false">
      <c r="A286" s="8" t="n">
        <v>101</v>
      </c>
      <c r="B286" s="8" t="s">
        <v>1519</v>
      </c>
    </row>
    <row r="287" customFormat="false" ht="15" hidden="false" customHeight="false" outlineLevel="0" collapsed="false">
      <c r="A287" s="8" t="n">
        <v>107</v>
      </c>
      <c r="B287" s="8" t="s">
        <v>1519</v>
      </c>
    </row>
    <row r="288" customFormat="false" ht="15" hidden="false" customHeight="false" outlineLevel="0" collapsed="false">
      <c r="A288" s="8" t="n">
        <v>108</v>
      </c>
      <c r="B288" s="8" t="s">
        <v>1519</v>
      </c>
    </row>
    <row r="289" customFormat="false" ht="15" hidden="false" customHeight="false" outlineLevel="0" collapsed="false">
      <c r="A289" s="8" t="n">
        <v>109</v>
      </c>
      <c r="B289" s="8" t="s">
        <v>1519</v>
      </c>
    </row>
    <row r="290" customFormat="false" ht="15" hidden="false" customHeight="false" outlineLevel="0" collapsed="false">
      <c r="A290" s="8" t="n">
        <v>120</v>
      </c>
      <c r="B290" s="8" t="s">
        <v>1519</v>
      </c>
    </row>
    <row r="291" customFormat="false" ht="15" hidden="false" customHeight="false" outlineLevel="0" collapsed="false">
      <c r="A291" s="8" t="n">
        <v>122</v>
      </c>
      <c r="B291" s="8" t="s">
        <v>1519</v>
      </c>
    </row>
    <row r="292" customFormat="false" ht="15" hidden="false" customHeight="false" outlineLevel="0" collapsed="false">
      <c r="A292" s="8" t="n">
        <v>123</v>
      </c>
      <c r="B292" s="8" t="s">
        <v>1519</v>
      </c>
    </row>
    <row r="293" customFormat="false" ht="15" hidden="false" customHeight="false" outlineLevel="0" collapsed="false">
      <c r="A293" s="8" t="n">
        <v>125</v>
      </c>
      <c r="B293" s="8" t="s">
        <v>1519</v>
      </c>
    </row>
    <row r="294" customFormat="false" ht="15" hidden="false" customHeight="false" outlineLevel="0" collapsed="false">
      <c r="A294" s="8" t="n">
        <v>127</v>
      </c>
      <c r="B294" s="8" t="s">
        <v>1519</v>
      </c>
    </row>
    <row r="295" customFormat="false" ht="15" hidden="false" customHeight="false" outlineLevel="0" collapsed="false">
      <c r="A295" s="8" t="n">
        <v>128</v>
      </c>
      <c r="B295" s="8" t="s">
        <v>1519</v>
      </c>
    </row>
    <row r="296" customFormat="false" ht="15" hidden="false" customHeight="false" outlineLevel="0" collapsed="false">
      <c r="A296" s="8" t="n">
        <v>129</v>
      </c>
      <c r="B296" s="8" t="s">
        <v>1519</v>
      </c>
    </row>
    <row r="297" customFormat="false" ht="15" hidden="false" customHeight="false" outlineLevel="0" collapsed="false">
      <c r="A297" s="8" t="n">
        <v>130</v>
      </c>
      <c r="B297" s="8" t="s">
        <v>1519</v>
      </c>
    </row>
    <row r="298" customFormat="false" ht="15" hidden="false" customHeight="false" outlineLevel="0" collapsed="false">
      <c r="A298" s="8" t="n">
        <v>131</v>
      </c>
      <c r="B298" s="8" t="s">
        <v>1519</v>
      </c>
    </row>
    <row r="299" customFormat="false" ht="15" hidden="false" customHeight="false" outlineLevel="0" collapsed="false">
      <c r="A299" s="8" t="n">
        <v>132</v>
      </c>
      <c r="B299" s="8" t="s">
        <v>1519</v>
      </c>
    </row>
    <row r="300" customFormat="false" ht="15" hidden="false" customHeight="false" outlineLevel="0" collapsed="false">
      <c r="A300" s="8" t="n">
        <v>137</v>
      </c>
      <c r="B300" s="8" t="s">
        <v>1519</v>
      </c>
    </row>
    <row r="301" customFormat="false" ht="15" hidden="false" customHeight="false" outlineLevel="0" collapsed="false">
      <c r="A301" s="8" t="n">
        <v>138</v>
      </c>
      <c r="B301" s="8" t="s">
        <v>1519</v>
      </c>
    </row>
    <row r="302" customFormat="false" ht="15" hidden="false" customHeight="false" outlineLevel="0" collapsed="false">
      <c r="A302" s="8" t="n">
        <v>142</v>
      </c>
      <c r="B302" s="8" t="s">
        <v>1519</v>
      </c>
    </row>
    <row r="303" customFormat="false" ht="15" hidden="false" customHeight="false" outlineLevel="0" collapsed="false">
      <c r="A303" s="8" t="n">
        <v>145</v>
      </c>
      <c r="B303" s="8" t="s">
        <v>1519</v>
      </c>
    </row>
    <row r="304" customFormat="false" ht="15" hidden="false" customHeight="false" outlineLevel="0" collapsed="false">
      <c r="A304" s="8" t="n">
        <v>147</v>
      </c>
      <c r="B304" s="8" t="s">
        <v>1519</v>
      </c>
    </row>
    <row r="305" customFormat="false" ht="15" hidden="false" customHeight="false" outlineLevel="0" collapsed="false">
      <c r="A305" s="8" t="n">
        <v>148</v>
      </c>
      <c r="B305" s="8" t="s">
        <v>1519</v>
      </c>
    </row>
    <row r="306" customFormat="false" ht="15" hidden="false" customHeight="false" outlineLevel="0" collapsed="false">
      <c r="A306" s="8" t="n">
        <v>152</v>
      </c>
      <c r="B306" s="8" t="s">
        <v>1519</v>
      </c>
    </row>
    <row r="307" customFormat="false" ht="15" hidden="false" customHeight="false" outlineLevel="0" collapsed="false">
      <c r="A307" s="8" t="n">
        <v>153</v>
      </c>
      <c r="B307" s="8" t="s">
        <v>1519</v>
      </c>
    </row>
    <row r="308" customFormat="false" ht="15" hidden="false" customHeight="false" outlineLevel="0" collapsed="false">
      <c r="A308" s="8" t="n">
        <v>157</v>
      </c>
      <c r="B308" s="8" t="s">
        <v>1519</v>
      </c>
    </row>
    <row r="309" customFormat="false" ht="15" hidden="false" customHeight="false" outlineLevel="0" collapsed="false">
      <c r="A309" s="8" t="n">
        <v>158</v>
      </c>
      <c r="B309" s="8" t="s">
        <v>1519</v>
      </c>
    </row>
    <row r="310" customFormat="false" ht="15" hidden="false" customHeight="false" outlineLevel="0" collapsed="false">
      <c r="A310" s="8" t="n">
        <v>160</v>
      </c>
      <c r="B310" s="8" t="s">
        <v>1519</v>
      </c>
    </row>
    <row r="311" customFormat="false" ht="15" hidden="false" customHeight="false" outlineLevel="0" collapsed="false">
      <c r="A311" s="8" t="n">
        <v>161</v>
      </c>
      <c r="B311" s="8" t="s">
        <v>1519</v>
      </c>
    </row>
    <row r="312" customFormat="false" ht="15" hidden="false" customHeight="false" outlineLevel="0" collapsed="false">
      <c r="A312" s="8" t="n">
        <v>162</v>
      </c>
      <c r="B312" s="8" t="s">
        <v>1519</v>
      </c>
    </row>
    <row r="313" customFormat="false" ht="15" hidden="false" customHeight="false" outlineLevel="0" collapsed="false">
      <c r="A313" s="8" t="n">
        <v>163</v>
      </c>
      <c r="B313" s="8" t="s">
        <v>1519</v>
      </c>
    </row>
    <row r="314" customFormat="false" ht="15" hidden="false" customHeight="false" outlineLevel="0" collapsed="false">
      <c r="A314" s="8" t="n">
        <v>165</v>
      </c>
      <c r="B314" s="8" t="s">
        <v>1519</v>
      </c>
    </row>
    <row r="315" customFormat="false" ht="15" hidden="false" customHeight="false" outlineLevel="0" collapsed="false">
      <c r="A315" s="8" t="n">
        <v>166</v>
      </c>
      <c r="B315" s="8" t="s">
        <v>1519</v>
      </c>
    </row>
    <row r="316" customFormat="false" ht="15" hidden="false" customHeight="false" outlineLevel="0" collapsed="false">
      <c r="A316" s="8" t="n">
        <v>167</v>
      </c>
      <c r="B316" s="8" t="s">
        <v>1519</v>
      </c>
    </row>
    <row r="317" customFormat="false" ht="15" hidden="false" customHeight="false" outlineLevel="0" collapsed="false">
      <c r="A317" s="8" t="n">
        <v>168</v>
      </c>
      <c r="B317" s="8" t="s">
        <v>1519</v>
      </c>
    </row>
    <row r="318" customFormat="false" ht="15" hidden="false" customHeight="false" outlineLevel="0" collapsed="false">
      <c r="A318" s="8" t="n">
        <v>171</v>
      </c>
      <c r="B318" s="8" t="s">
        <v>1519</v>
      </c>
    </row>
    <row r="319" customFormat="false" ht="15" hidden="false" customHeight="false" outlineLevel="0" collapsed="false">
      <c r="A319" s="8" t="n">
        <v>172</v>
      </c>
      <c r="B319" s="8" t="s">
        <v>1519</v>
      </c>
    </row>
    <row r="320" customFormat="false" ht="15" hidden="false" customHeight="false" outlineLevel="0" collapsed="false">
      <c r="A320" s="8" t="n">
        <v>173</v>
      </c>
      <c r="B320" s="8" t="s">
        <v>1519</v>
      </c>
    </row>
    <row r="321" customFormat="false" ht="15" hidden="false" customHeight="false" outlineLevel="0" collapsed="false">
      <c r="A321" s="8" t="n">
        <v>174</v>
      </c>
      <c r="B321" s="8" t="s">
        <v>1519</v>
      </c>
    </row>
    <row r="322" customFormat="false" ht="15" hidden="false" customHeight="false" outlineLevel="0" collapsed="false">
      <c r="A322" s="8" t="n">
        <v>175</v>
      </c>
      <c r="B322" s="8" t="s">
        <v>1519</v>
      </c>
    </row>
    <row r="323" customFormat="false" ht="15" hidden="false" customHeight="false" outlineLevel="0" collapsed="false">
      <c r="A323" s="8" t="n">
        <v>176</v>
      </c>
      <c r="B323" s="8" t="s">
        <v>1519</v>
      </c>
    </row>
    <row r="324" customFormat="false" ht="15" hidden="false" customHeight="false" outlineLevel="0" collapsed="false">
      <c r="A324" s="8" t="n">
        <v>177</v>
      </c>
      <c r="B324" s="8" t="s">
        <v>1519</v>
      </c>
    </row>
    <row r="325" customFormat="false" ht="15" hidden="false" customHeight="false" outlineLevel="0" collapsed="false">
      <c r="A325" s="8" t="n">
        <v>178</v>
      </c>
      <c r="B325" s="8" t="s">
        <v>1519</v>
      </c>
    </row>
    <row r="326" customFormat="false" ht="15" hidden="false" customHeight="false" outlineLevel="0" collapsed="false">
      <c r="A326" s="8" t="n">
        <v>179</v>
      </c>
      <c r="B326" s="8" t="s">
        <v>1519</v>
      </c>
    </row>
    <row r="327" customFormat="false" ht="15" hidden="false" customHeight="false" outlineLevel="0" collapsed="false">
      <c r="A327" s="8" t="n">
        <v>180</v>
      </c>
      <c r="B327" s="8" t="s">
        <v>1519</v>
      </c>
    </row>
    <row r="328" customFormat="false" ht="15" hidden="false" customHeight="false" outlineLevel="0" collapsed="false">
      <c r="A328" s="8" t="n">
        <v>181</v>
      </c>
      <c r="B328" s="8" t="s">
        <v>1519</v>
      </c>
    </row>
    <row r="329" customFormat="false" ht="15" hidden="false" customHeight="false" outlineLevel="0" collapsed="false">
      <c r="A329" s="8" t="n">
        <v>182</v>
      </c>
      <c r="B329" s="8" t="s">
        <v>1519</v>
      </c>
    </row>
    <row r="330" customFormat="false" ht="15" hidden="false" customHeight="false" outlineLevel="0" collapsed="false">
      <c r="A330" s="8" t="n">
        <v>183</v>
      </c>
      <c r="B330" s="8" t="s">
        <v>1519</v>
      </c>
    </row>
    <row r="331" customFormat="false" ht="15" hidden="false" customHeight="false" outlineLevel="0" collapsed="false">
      <c r="A331" s="8" t="n">
        <v>184</v>
      </c>
      <c r="B331" s="8" t="s">
        <v>1519</v>
      </c>
    </row>
    <row r="332" customFormat="false" ht="15" hidden="false" customHeight="false" outlineLevel="0" collapsed="false">
      <c r="A332" s="8" t="n">
        <v>185</v>
      </c>
      <c r="B332" s="8" t="s">
        <v>1519</v>
      </c>
    </row>
    <row r="333" customFormat="false" ht="15" hidden="false" customHeight="false" outlineLevel="0" collapsed="false">
      <c r="A333" s="8" t="n">
        <v>186</v>
      </c>
      <c r="B333" s="8" t="s">
        <v>1519</v>
      </c>
    </row>
    <row r="334" customFormat="false" ht="15" hidden="false" customHeight="false" outlineLevel="0" collapsed="false">
      <c r="A334" s="8" t="n">
        <v>188</v>
      </c>
      <c r="B334" s="8" t="s">
        <v>1519</v>
      </c>
    </row>
    <row r="335" customFormat="false" ht="15" hidden="false" customHeight="false" outlineLevel="0" collapsed="false">
      <c r="A335" s="8" t="n">
        <v>189</v>
      </c>
      <c r="B335" s="8" t="s">
        <v>1519</v>
      </c>
    </row>
    <row r="336" customFormat="false" ht="15" hidden="false" customHeight="false" outlineLevel="0" collapsed="false">
      <c r="A336" s="8" t="n">
        <v>190</v>
      </c>
      <c r="B336" s="8" t="s">
        <v>1519</v>
      </c>
    </row>
    <row r="337" customFormat="false" ht="15" hidden="false" customHeight="false" outlineLevel="0" collapsed="false">
      <c r="A337" s="8" t="n">
        <v>191</v>
      </c>
      <c r="B337" s="8" t="s">
        <v>1519</v>
      </c>
    </row>
    <row r="338" customFormat="false" ht="15" hidden="false" customHeight="false" outlineLevel="0" collapsed="false">
      <c r="A338" s="8" t="n">
        <v>192</v>
      </c>
      <c r="B338" s="8" t="s">
        <v>1519</v>
      </c>
    </row>
    <row r="339" customFormat="false" ht="15" hidden="false" customHeight="false" outlineLevel="0" collapsed="false">
      <c r="A339" s="8" t="n">
        <v>193</v>
      </c>
      <c r="B339" s="8" t="s">
        <v>1519</v>
      </c>
    </row>
    <row r="340" customFormat="false" ht="15" hidden="false" customHeight="false" outlineLevel="0" collapsed="false">
      <c r="A340" s="8" t="n">
        <v>194</v>
      </c>
      <c r="B340" s="8" t="s">
        <v>1519</v>
      </c>
    </row>
    <row r="341" customFormat="false" ht="15" hidden="false" customHeight="false" outlineLevel="0" collapsed="false">
      <c r="A341" s="8" t="n">
        <v>197</v>
      </c>
      <c r="B341" s="8" t="s">
        <v>1519</v>
      </c>
    </row>
    <row r="342" customFormat="false" ht="15" hidden="false" customHeight="false" outlineLevel="0" collapsed="false">
      <c r="A342" s="8" t="n">
        <v>199</v>
      </c>
      <c r="B342" s="8" t="s">
        <v>1519</v>
      </c>
    </row>
    <row r="343" customFormat="false" ht="15" hidden="false" customHeight="false" outlineLevel="0" collapsed="false">
      <c r="A343" s="8" t="n">
        <v>200</v>
      </c>
      <c r="B343" s="8" t="s">
        <v>1519</v>
      </c>
    </row>
    <row r="344" customFormat="false" ht="15" hidden="false" customHeight="false" outlineLevel="0" collapsed="false">
      <c r="A344" s="8" t="n">
        <v>201</v>
      </c>
      <c r="B344" s="8" t="s">
        <v>1519</v>
      </c>
    </row>
    <row r="345" customFormat="false" ht="15" hidden="false" customHeight="false" outlineLevel="0" collapsed="false">
      <c r="A345" s="8" t="n">
        <v>202</v>
      </c>
      <c r="B345" s="8" t="s">
        <v>1519</v>
      </c>
    </row>
    <row r="346" customFormat="false" ht="15" hidden="false" customHeight="false" outlineLevel="0" collapsed="false">
      <c r="A346" s="8" t="n">
        <v>203</v>
      </c>
      <c r="B346" s="8" t="s">
        <v>1519</v>
      </c>
    </row>
    <row r="347" customFormat="false" ht="15" hidden="false" customHeight="false" outlineLevel="0" collapsed="false">
      <c r="A347" s="8" t="n">
        <v>204</v>
      </c>
      <c r="B347" s="8" t="s">
        <v>1519</v>
      </c>
    </row>
    <row r="348" customFormat="false" ht="15" hidden="false" customHeight="false" outlineLevel="0" collapsed="false">
      <c r="A348" s="8" t="n">
        <v>205</v>
      </c>
      <c r="B348" s="8" t="s">
        <v>1519</v>
      </c>
    </row>
    <row r="349" customFormat="false" ht="15" hidden="false" customHeight="false" outlineLevel="0" collapsed="false">
      <c r="A349" s="8" t="n">
        <v>206</v>
      </c>
      <c r="B349" s="8" t="s">
        <v>1519</v>
      </c>
    </row>
    <row r="350" customFormat="false" ht="15" hidden="false" customHeight="false" outlineLevel="0" collapsed="false">
      <c r="A350" s="8" t="n">
        <v>207</v>
      </c>
      <c r="B350" s="8" t="s">
        <v>1519</v>
      </c>
    </row>
    <row r="351" customFormat="false" ht="15" hidden="false" customHeight="false" outlineLevel="0" collapsed="false">
      <c r="A351" s="8" t="n">
        <v>208</v>
      </c>
      <c r="B351" s="8" t="s">
        <v>1519</v>
      </c>
    </row>
    <row r="352" customFormat="false" ht="15" hidden="false" customHeight="false" outlineLevel="0" collapsed="false">
      <c r="A352" s="8" t="n">
        <v>211</v>
      </c>
      <c r="B352" s="8" t="s">
        <v>1519</v>
      </c>
    </row>
    <row r="353" customFormat="false" ht="15" hidden="false" customHeight="false" outlineLevel="0" collapsed="false">
      <c r="A353" s="8" t="n">
        <v>214</v>
      </c>
      <c r="B353" s="8" t="s">
        <v>1519</v>
      </c>
    </row>
    <row r="354" customFormat="false" ht="15" hidden="false" customHeight="false" outlineLevel="0" collapsed="false">
      <c r="A354" s="8" t="n">
        <v>215</v>
      </c>
      <c r="B354" s="8" t="s">
        <v>1519</v>
      </c>
    </row>
    <row r="355" customFormat="false" ht="15" hidden="false" customHeight="false" outlineLevel="0" collapsed="false">
      <c r="A355" s="8" t="n">
        <v>216</v>
      </c>
      <c r="B355" s="8" t="s">
        <v>1519</v>
      </c>
    </row>
    <row r="356" customFormat="false" ht="15" hidden="false" customHeight="false" outlineLevel="0" collapsed="false">
      <c r="A356" s="8" t="n">
        <v>217</v>
      </c>
      <c r="B356" s="8" t="s">
        <v>1519</v>
      </c>
    </row>
    <row r="357" customFormat="false" ht="15" hidden="false" customHeight="false" outlineLevel="0" collapsed="false">
      <c r="A357" s="8" t="n">
        <v>218</v>
      </c>
      <c r="B357" s="8" t="s">
        <v>1519</v>
      </c>
    </row>
    <row r="358" customFormat="false" ht="15" hidden="false" customHeight="false" outlineLevel="0" collapsed="false">
      <c r="A358" s="8" t="n">
        <v>219</v>
      </c>
      <c r="B358" s="8" t="s">
        <v>1519</v>
      </c>
    </row>
    <row r="359" customFormat="false" ht="15" hidden="false" customHeight="false" outlineLevel="0" collapsed="false">
      <c r="A359" s="8" t="n">
        <v>221</v>
      </c>
      <c r="B359" s="8" t="s">
        <v>1519</v>
      </c>
    </row>
    <row r="360" customFormat="false" ht="15" hidden="false" customHeight="false" outlineLevel="0" collapsed="false">
      <c r="A360" s="8" t="n">
        <v>223</v>
      </c>
      <c r="B360" s="8" t="s">
        <v>1519</v>
      </c>
    </row>
    <row r="361" customFormat="false" ht="15" hidden="false" customHeight="false" outlineLevel="0" collapsed="false">
      <c r="A361" s="8" t="n">
        <v>224</v>
      </c>
      <c r="B361" s="8" t="s">
        <v>1519</v>
      </c>
    </row>
    <row r="362" customFormat="false" ht="15" hidden="false" customHeight="false" outlineLevel="0" collapsed="false">
      <c r="A362" s="8" t="n">
        <v>226</v>
      </c>
      <c r="B362" s="8" t="s">
        <v>1519</v>
      </c>
    </row>
    <row r="363" customFormat="false" ht="15" hidden="false" customHeight="false" outlineLevel="0" collapsed="false">
      <c r="A363" s="8" t="n">
        <v>228</v>
      </c>
      <c r="B363" s="8" t="s">
        <v>1519</v>
      </c>
    </row>
    <row r="364" customFormat="false" ht="15" hidden="false" customHeight="false" outlineLevel="0" collapsed="false">
      <c r="A364" s="8" t="n">
        <v>229</v>
      </c>
      <c r="B364" s="8" t="s">
        <v>1519</v>
      </c>
    </row>
    <row r="365" customFormat="false" ht="15" hidden="false" customHeight="false" outlineLevel="0" collapsed="false">
      <c r="A365" s="8" t="n">
        <v>230</v>
      </c>
      <c r="B365" s="8" t="s">
        <v>1519</v>
      </c>
    </row>
    <row r="366" customFormat="false" ht="15" hidden="false" customHeight="false" outlineLevel="0" collapsed="false">
      <c r="A366" s="8" t="n">
        <v>2</v>
      </c>
      <c r="B366" s="8" t="s">
        <v>1520</v>
      </c>
    </row>
    <row r="367" customFormat="false" ht="15" hidden="false" customHeight="false" outlineLevel="0" collapsed="false">
      <c r="A367" s="8" t="n">
        <v>102</v>
      </c>
      <c r="B367" s="8" t="s">
        <v>1521</v>
      </c>
    </row>
    <row r="368" customFormat="false" ht="15" hidden="false" customHeight="false" outlineLevel="0" collapsed="false">
      <c r="A368" s="8" t="n">
        <v>3</v>
      </c>
      <c r="B368" s="8" t="s">
        <v>1522</v>
      </c>
    </row>
    <row r="369" customFormat="false" ht="15" hidden="false" customHeight="false" outlineLevel="0" collapsed="false">
      <c r="A369" s="8" t="n">
        <v>17</v>
      </c>
      <c r="B369" s="8" t="s">
        <v>1522</v>
      </c>
    </row>
    <row r="370" customFormat="false" ht="15" hidden="false" customHeight="false" outlineLevel="0" collapsed="false">
      <c r="A370" s="8" t="n">
        <v>38</v>
      </c>
      <c r="B370" s="8" t="s">
        <v>1522</v>
      </c>
    </row>
    <row r="371" customFormat="false" ht="15" hidden="false" customHeight="false" outlineLevel="0" collapsed="false">
      <c r="A371" s="8" t="n">
        <v>56</v>
      </c>
      <c r="B371" s="8" t="s">
        <v>1522</v>
      </c>
    </row>
    <row r="372" customFormat="false" ht="15" hidden="false" customHeight="false" outlineLevel="0" collapsed="false">
      <c r="A372" s="8" t="n">
        <v>63</v>
      </c>
      <c r="B372" s="8" t="s">
        <v>1522</v>
      </c>
    </row>
    <row r="373" customFormat="false" ht="15" hidden="false" customHeight="false" outlineLevel="0" collapsed="false">
      <c r="A373" s="8" t="n">
        <v>132</v>
      </c>
      <c r="B373" s="8" t="s">
        <v>1522</v>
      </c>
    </row>
    <row r="374" customFormat="false" ht="15" hidden="false" customHeight="false" outlineLevel="0" collapsed="false">
      <c r="A374" s="8" t="n">
        <v>144</v>
      </c>
      <c r="B374" s="8" t="s">
        <v>1522</v>
      </c>
    </row>
    <row r="375" customFormat="false" ht="15" hidden="false" customHeight="false" outlineLevel="0" collapsed="false">
      <c r="A375" s="8" t="n">
        <v>145</v>
      </c>
      <c r="B375" s="8" t="s">
        <v>1522</v>
      </c>
    </row>
    <row r="376" customFormat="false" ht="15" hidden="false" customHeight="false" outlineLevel="0" collapsed="false">
      <c r="A376" s="8" t="n">
        <v>146</v>
      </c>
      <c r="B376" s="8" t="s">
        <v>1522</v>
      </c>
    </row>
    <row r="377" customFormat="false" ht="15" hidden="false" customHeight="false" outlineLevel="0" collapsed="false">
      <c r="A377" s="8" t="n">
        <v>148</v>
      </c>
      <c r="B377" s="8" t="s">
        <v>1522</v>
      </c>
    </row>
    <row r="378" customFormat="false" ht="15" hidden="false" customHeight="false" outlineLevel="0" collapsed="false">
      <c r="A378" s="8" t="n">
        <v>90</v>
      </c>
      <c r="B378" s="8" t="s">
        <v>1523</v>
      </c>
    </row>
    <row r="379" customFormat="false" ht="15" hidden="false" customHeight="false" outlineLevel="0" collapsed="false">
      <c r="A379" s="8" t="n">
        <v>106</v>
      </c>
      <c r="B379" s="8" t="s">
        <v>1523</v>
      </c>
    </row>
    <row r="380" customFormat="false" ht="15" hidden="false" customHeight="false" outlineLevel="0" collapsed="false">
      <c r="A380" s="8" t="n">
        <v>229</v>
      </c>
      <c r="B380" s="8" t="s">
        <v>1523</v>
      </c>
    </row>
    <row r="381" customFormat="false" ht="15" hidden="false" customHeight="false" outlineLevel="0" collapsed="false">
      <c r="A381" s="8" t="n">
        <v>6</v>
      </c>
      <c r="B381" s="8" t="s">
        <v>1524</v>
      </c>
    </row>
    <row r="382" customFormat="false" ht="15" hidden="false" customHeight="false" outlineLevel="0" collapsed="false">
      <c r="A382" s="8" t="n">
        <v>14</v>
      </c>
      <c r="B382" s="8" t="s">
        <v>1524</v>
      </c>
    </row>
    <row r="383" customFormat="false" ht="15" hidden="false" customHeight="false" outlineLevel="0" collapsed="false">
      <c r="A383" s="8" t="n">
        <v>21</v>
      </c>
      <c r="B383" s="8" t="s">
        <v>1524</v>
      </c>
    </row>
    <row r="384" customFormat="false" ht="15" hidden="false" customHeight="false" outlineLevel="0" collapsed="false">
      <c r="A384" s="8" t="n">
        <v>26</v>
      </c>
      <c r="B384" s="8" t="s">
        <v>1524</v>
      </c>
    </row>
    <row r="385" customFormat="false" ht="15" hidden="false" customHeight="false" outlineLevel="0" collapsed="false">
      <c r="A385" s="8" t="n">
        <v>28</v>
      </c>
      <c r="B385" s="8" t="s">
        <v>1524</v>
      </c>
    </row>
    <row r="386" customFormat="false" ht="15" hidden="false" customHeight="false" outlineLevel="0" collapsed="false">
      <c r="A386" s="8" t="n">
        <v>31</v>
      </c>
      <c r="B386" s="8" t="s">
        <v>1524</v>
      </c>
    </row>
    <row r="387" customFormat="false" ht="15" hidden="false" customHeight="false" outlineLevel="0" collapsed="false">
      <c r="A387" s="8" t="n">
        <v>34</v>
      </c>
      <c r="B387" s="8" t="s">
        <v>1524</v>
      </c>
    </row>
    <row r="388" customFormat="false" ht="15" hidden="false" customHeight="false" outlineLevel="0" collapsed="false">
      <c r="A388" s="8" t="n">
        <v>40</v>
      </c>
      <c r="B388" s="8" t="s">
        <v>1524</v>
      </c>
    </row>
    <row r="389" customFormat="false" ht="15" hidden="false" customHeight="false" outlineLevel="0" collapsed="false">
      <c r="A389" s="8" t="n">
        <v>51</v>
      </c>
      <c r="B389" s="8" t="s">
        <v>1524</v>
      </c>
    </row>
    <row r="390" customFormat="false" ht="15" hidden="false" customHeight="false" outlineLevel="0" collapsed="false">
      <c r="A390" s="8" t="n">
        <v>62</v>
      </c>
      <c r="B390" s="8" t="s">
        <v>1524</v>
      </c>
    </row>
    <row r="391" customFormat="false" ht="15" hidden="false" customHeight="false" outlineLevel="0" collapsed="false">
      <c r="A391" s="8" t="n">
        <v>73</v>
      </c>
      <c r="B391" s="8" t="s">
        <v>1524</v>
      </c>
    </row>
    <row r="392" customFormat="false" ht="15" hidden="false" customHeight="false" outlineLevel="0" collapsed="false">
      <c r="A392" s="8" t="n">
        <v>88</v>
      </c>
      <c r="B392" s="8" t="s">
        <v>1524</v>
      </c>
    </row>
    <row r="393" customFormat="false" ht="15" hidden="false" customHeight="false" outlineLevel="0" collapsed="false">
      <c r="A393" s="8" t="n">
        <v>105</v>
      </c>
      <c r="B393" s="8" t="s">
        <v>1524</v>
      </c>
    </row>
    <row r="394" customFormat="false" ht="15" hidden="false" customHeight="false" outlineLevel="0" collapsed="false">
      <c r="A394" s="8" t="n">
        <v>108</v>
      </c>
      <c r="B394" s="8" t="s">
        <v>1524</v>
      </c>
    </row>
    <row r="395" customFormat="false" ht="15" hidden="false" customHeight="false" outlineLevel="0" collapsed="false">
      <c r="A395" s="8" t="n">
        <v>111</v>
      </c>
      <c r="B395" s="8" t="s">
        <v>1524</v>
      </c>
    </row>
    <row r="396" customFormat="false" ht="15" hidden="false" customHeight="false" outlineLevel="0" collapsed="false">
      <c r="A396" s="8" t="n">
        <v>114</v>
      </c>
      <c r="B396" s="8" t="s">
        <v>1524</v>
      </c>
    </row>
    <row r="397" customFormat="false" ht="15" hidden="false" customHeight="false" outlineLevel="0" collapsed="false">
      <c r="A397" s="8" t="n">
        <v>128</v>
      </c>
      <c r="B397" s="8" t="s">
        <v>1524</v>
      </c>
    </row>
    <row r="398" customFormat="false" ht="15" hidden="false" customHeight="false" outlineLevel="0" collapsed="false">
      <c r="A398" s="8" t="n">
        <v>131</v>
      </c>
      <c r="B398" s="8" t="s">
        <v>1524</v>
      </c>
    </row>
    <row r="399" customFormat="false" ht="15" hidden="false" customHeight="false" outlineLevel="0" collapsed="false">
      <c r="A399" s="8" t="n">
        <v>132</v>
      </c>
      <c r="B399" s="8" t="s">
        <v>1524</v>
      </c>
    </row>
    <row r="400" customFormat="false" ht="15" hidden="false" customHeight="false" outlineLevel="0" collapsed="false">
      <c r="A400" s="8" t="n">
        <v>133</v>
      </c>
      <c r="B400" s="8" t="s">
        <v>1524</v>
      </c>
    </row>
    <row r="401" customFormat="false" ht="15" hidden="false" customHeight="false" outlineLevel="0" collapsed="false">
      <c r="A401" s="8" t="n">
        <v>140</v>
      </c>
      <c r="B401" s="8" t="s">
        <v>1524</v>
      </c>
    </row>
    <row r="402" customFormat="false" ht="15" hidden="false" customHeight="false" outlineLevel="0" collapsed="false">
      <c r="A402" s="8" t="n">
        <v>141</v>
      </c>
      <c r="B402" s="8" t="s">
        <v>1524</v>
      </c>
    </row>
    <row r="403" customFormat="false" ht="15" hidden="false" customHeight="false" outlineLevel="0" collapsed="false">
      <c r="A403" s="8" t="n">
        <v>146</v>
      </c>
      <c r="B403" s="8" t="s">
        <v>1524</v>
      </c>
    </row>
    <row r="404" customFormat="false" ht="15" hidden="false" customHeight="false" outlineLevel="0" collapsed="false">
      <c r="A404" s="8" t="n">
        <v>159</v>
      </c>
      <c r="B404" s="8" t="s">
        <v>1524</v>
      </c>
    </row>
    <row r="405" customFormat="false" ht="15" hidden="false" customHeight="false" outlineLevel="0" collapsed="false">
      <c r="A405" s="8" t="n">
        <v>217</v>
      </c>
      <c r="B405" s="8" t="s">
        <v>1524</v>
      </c>
    </row>
    <row r="406" customFormat="false" ht="15" hidden="false" customHeight="false" outlineLevel="0" collapsed="false">
      <c r="A406" s="8" t="n">
        <v>225</v>
      </c>
      <c r="B406" s="8" t="s">
        <v>1524</v>
      </c>
    </row>
    <row r="407" customFormat="false" ht="15" hidden="false" customHeight="false" outlineLevel="0" collapsed="false">
      <c r="A407" s="8" t="n">
        <v>30</v>
      </c>
      <c r="B407" s="8" t="s">
        <v>1525</v>
      </c>
    </row>
    <row r="408" customFormat="false" ht="15" hidden="false" customHeight="false" outlineLevel="0" collapsed="false">
      <c r="A408" s="8" t="n">
        <v>32</v>
      </c>
      <c r="B408" s="8" t="s">
        <v>1525</v>
      </c>
    </row>
    <row r="409" customFormat="false" ht="15" hidden="false" customHeight="false" outlineLevel="0" collapsed="false">
      <c r="A409" s="8" t="n">
        <v>64</v>
      </c>
      <c r="B409" s="8" t="s">
        <v>1525</v>
      </c>
    </row>
    <row r="410" customFormat="false" ht="15" hidden="false" customHeight="false" outlineLevel="0" collapsed="false">
      <c r="A410" s="8" t="n">
        <v>218</v>
      </c>
      <c r="B410" s="8" t="s">
        <v>1525</v>
      </c>
    </row>
    <row r="411" customFormat="false" ht="15" hidden="false" customHeight="false" outlineLevel="0" collapsed="false">
      <c r="A411" s="8" t="n">
        <v>2</v>
      </c>
      <c r="B411" s="8" t="s">
        <v>1526</v>
      </c>
    </row>
    <row r="412" customFormat="false" ht="15" hidden="false" customHeight="false" outlineLevel="0" collapsed="false">
      <c r="A412" s="8" t="n">
        <v>4</v>
      </c>
      <c r="B412" s="8" t="s">
        <v>1526</v>
      </c>
    </row>
    <row r="413" customFormat="false" ht="15" hidden="false" customHeight="false" outlineLevel="0" collapsed="false">
      <c r="A413" s="8" t="n">
        <v>7</v>
      </c>
      <c r="B413" s="8" t="s">
        <v>1526</v>
      </c>
    </row>
    <row r="414" customFormat="false" ht="15" hidden="false" customHeight="false" outlineLevel="0" collapsed="false">
      <c r="A414" s="8" t="n">
        <v>9</v>
      </c>
      <c r="B414" s="8" t="s">
        <v>1526</v>
      </c>
    </row>
    <row r="415" customFormat="false" ht="15" hidden="false" customHeight="false" outlineLevel="0" collapsed="false">
      <c r="A415" s="8" t="n">
        <v>10</v>
      </c>
      <c r="B415" s="8" t="s">
        <v>1526</v>
      </c>
    </row>
    <row r="416" customFormat="false" ht="15" hidden="false" customHeight="false" outlineLevel="0" collapsed="false">
      <c r="A416" s="8" t="n">
        <v>11</v>
      </c>
      <c r="B416" s="8" t="s">
        <v>1526</v>
      </c>
    </row>
    <row r="417" customFormat="false" ht="15" hidden="false" customHeight="false" outlineLevel="0" collapsed="false">
      <c r="A417" s="8" t="n">
        <v>21</v>
      </c>
      <c r="B417" s="8" t="s">
        <v>1526</v>
      </c>
    </row>
    <row r="418" customFormat="false" ht="15" hidden="false" customHeight="false" outlineLevel="0" collapsed="false">
      <c r="A418" s="8" t="n">
        <v>24</v>
      </c>
      <c r="B418" s="8" t="s">
        <v>1526</v>
      </c>
    </row>
    <row r="419" customFormat="false" ht="15" hidden="false" customHeight="false" outlineLevel="0" collapsed="false">
      <c r="A419" s="8" t="n">
        <v>28</v>
      </c>
      <c r="B419" s="8" t="s">
        <v>1526</v>
      </c>
    </row>
    <row r="420" customFormat="false" ht="15" hidden="false" customHeight="false" outlineLevel="0" collapsed="false">
      <c r="A420" s="8" t="n">
        <v>29</v>
      </c>
      <c r="B420" s="8" t="s">
        <v>1526</v>
      </c>
    </row>
    <row r="421" customFormat="false" ht="15" hidden="false" customHeight="false" outlineLevel="0" collapsed="false">
      <c r="A421" s="8" t="n">
        <v>35</v>
      </c>
      <c r="B421" s="8" t="s">
        <v>1526</v>
      </c>
    </row>
    <row r="422" customFormat="false" ht="15" hidden="false" customHeight="false" outlineLevel="0" collapsed="false">
      <c r="A422" s="8" t="n">
        <v>36</v>
      </c>
      <c r="B422" s="8" t="s">
        <v>1526</v>
      </c>
    </row>
    <row r="423" customFormat="false" ht="15" hidden="false" customHeight="false" outlineLevel="0" collapsed="false">
      <c r="A423" s="8" t="n">
        <v>37</v>
      </c>
      <c r="B423" s="8" t="s">
        <v>1526</v>
      </c>
    </row>
    <row r="424" customFormat="false" ht="15" hidden="false" customHeight="false" outlineLevel="0" collapsed="false">
      <c r="A424" s="8" t="n">
        <v>38</v>
      </c>
      <c r="B424" s="8" t="s">
        <v>1526</v>
      </c>
    </row>
    <row r="425" customFormat="false" ht="15" hidden="false" customHeight="false" outlineLevel="0" collapsed="false">
      <c r="A425" s="8" t="n">
        <v>43</v>
      </c>
      <c r="B425" s="8" t="s">
        <v>1526</v>
      </c>
    </row>
    <row r="426" customFormat="false" ht="15" hidden="false" customHeight="false" outlineLevel="0" collapsed="false">
      <c r="A426" s="8" t="n">
        <v>46</v>
      </c>
      <c r="B426" s="8" t="s">
        <v>1526</v>
      </c>
    </row>
    <row r="427" customFormat="false" ht="15" hidden="false" customHeight="false" outlineLevel="0" collapsed="false">
      <c r="A427" s="8" t="n">
        <v>53</v>
      </c>
      <c r="B427" s="8" t="s">
        <v>1526</v>
      </c>
    </row>
    <row r="428" customFormat="false" ht="15" hidden="false" customHeight="false" outlineLevel="0" collapsed="false">
      <c r="A428" s="8" t="n">
        <v>59</v>
      </c>
      <c r="B428" s="8" t="s">
        <v>1526</v>
      </c>
    </row>
    <row r="429" customFormat="false" ht="15" hidden="false" customHeight="false" outlineLevel="0" collapsed="false">
      <c r="A429" s="8" t="n">
        <v>64</v>
      </c>
      <c r="B429" s="8" t="s">
        <v>1526</v>
      </c>
    </row>
    <row r="430" customFormat="false" ht="15" hidden="false" customHeight="false" outlineLevel="0" collapsed="false">
      <c r="A430" s="8" t="n">
        <v>66</v>
      </c>
      <c r="B430" s="8" t="s">
        <v>1526</v>
      </c>
    </row>
    <row r="431" customFormat="false" ht="15" hidden="false" customHeight="false" outlineLevel="0" collapsed="false">
      <c r="A431" s="8" t="n">
        <v>72</v>
      </c>
      <c r="B431" s="8" t="s">
        <v>1526</v>
      </c>
    </row>
    <row r="432" customFormat="false" ht="15" hidden="false" customHeight="false" outlineLevel="0" collapsed="false">
      <c r="A432" s="8" t="n">
        <v>75</v>
      </c>
      <c r="B432" s="8" t="s">
        <v>1526</v>
      </c>
    </row>
    <row r="433" customFormat="false" ht="15" hidden="false" customHeight="false" outlineLevel="0" collapsed="false">
      <c r="A433" s="8" t="n">
        <v>77</v>
      </c>
      <c r="B433" s="8" t="s">
        <v>1526</v>
      </c>
    </row>
    <row r="434" customFormat="false" ht="15" hidden="false" customHeight="false" outlineLevel="0" collapsed="false">
      <c r="A434" s="8" t="n">
        <v>78</v>
      </c>
      <c r="B434" s="8" t="s">
        <v>1526</v>
      </c>
    </row>
    <row r="435" customFormat="false" ht="15" hidden="false" customHeight="false" outlineLevel="0" collapsed="false">
      <c r="A435" s="8" t="n">
        <v>79</v>
      </c>
      <c r="B435" s="8" t="s">
        <v>1526</v>
      </c>
    </row>
    <row r="436" customFormat="false" ht="15" hidden="false" customHeight="false" outlineLevel="0" collapsed="false">
      <c r="A436" s="8" t="n">
        <v>82</v>
      </c>
      <c r="B436" s="8" t="s">
        <v>1526</v>
      </c>
    </row>
    <row r="437" customFormat="false" ht="15" hidden="false" customHeight="false" outlineLevel="0" collapsed="false">
      <c r="A437" s="8" t="n">
        <v>86</v>
      </c>
      <c r="B437" s="8" t="s">
        <v>1526</v>
      </c>
    </row>
    <row r="438" customFormat="false" ht="15" hidden="false" customHeight="false" outlineLevel="0" collapsed="false">
      <c r="A438" s="8" t="n">
        <v>87</v>
      </c>
      <c r="B438" s="8" t="s">
        <v>1526</v>
      </c>
    </row>
    <row r="439" customFormat="false" ht="15" hidden="false" customHeight="false" outlineLevel="0" collapsed="false">
      <c r="A439" s="8" t="n">
        <v>89</v>
      </c>
      <c r="B439" s="8" t="s">
        <v>1526</v>
      </c>
    </row>
    <row r="440" customFormat="false" ht="15" hidden="false" customHeight="false" outlineLevel="0" collapsed="false">
      <c r="A440" s="8" t="n">
        <v>92</v>
      </c>
      <c r="B440" s="8" t="s">
        <v>1526</v>
      </c>
    </row>
    <row r="441" customFormat="false" ht="15" hidden="false" customHeight="false" outlineLevel="0" collapsed="false">
      <c r="A441" s="8" t="n">
        <v>94</v>
      </c>
      <c r="B441" s="8" t="s">
        <v>1526</v>
      </c>
    </row>
    <row r="442" customFormat="false" ht="15" hidden="false" customHeight="false" outlineLevel="0" collapsed="false">
      <c r="A442" s="8" t="n">
        <v>97</v>
      </c>
      <c r="B442" s="8" t="s">
        <v>1526</v>
      </c>
    </row>
    <row r="443" customFormat="false" ht="15" hidden="false" customHeight="false" outlineLevel="0" collapsed="false">
      <c r="A443" s="8" t="n">
        <v>100</v>
      </c>
      <c r="B443" s="8" t="s">
        <v>1526</v>
      </c>
    </row>
    <row r="444" customFormat="false" ht="15" hidden="false" customHeight="false" outlineLevel="0" collapsed="false">
      <c r="A444" s="8" t="n">
        <v>103</v>
      </c>
      <c r="B444" s="8" t="s">
        <v>1526</v>
      </c>
    </row>
    <row r="445" customFormat="false" ht="15" hidden="false" customHeight="false" outlineLevel="0" collapsed="false">
      <c r="A445" s="8" t="n">
        <v>108</v>
      </c>
      <c r="B445" s="8" t="s">
        <v>1526</v>
      </c>
    </row>
    <row r="446" customFormat="false" ht="15" hidden="false" customHeight="false" outlineLevel="0" collapsed="false">
      <c r="A446" s="8" t="n">
        <v>112</v>
      </c>
      <c r="B446" s="8" t="s">
        <v>1526</v>
      </c>
    </row>
    <row r="447" customFormat="false" ht="15" hidden="false" customHeight="false" outlineLevel="0" collapsed="false">
      <c r="A447" s="8" t="n">
        <v>113</v>
      </c>
      <c r="B447" s="8" t="s">
        <v>1526</v>
      </c>
    </row>
    <row r="448" customFormat="false" ht="15" hidden="false" customHeight="false" outlineLevel="0" collapsed="false">
      <c r="A448" s="8" t="n">
        <v>114</v>
      </c>
      <c r="B448" s="8" t="s">
        <v>1526</v>
      </c>
    </row>
    <row r="449" customFormat="false" ht="15" hidden="false" customHeight="false" outlineLevel="0" collapsed="false">
      <c r="A449" s="8" t="n">
        <v>125</v>
      </c>
      <c r="B449" s="8" t="s">
        <v>1526</v>
      </c>
    </row>
    <row r="450" customFormat="false" ht="15" hidden="false" customHeight="false" outlineLevel="0" collapsed="false">
      <c r="A450" s="8" t="n">
        <v>128</v>
      </c>
      <c r="B450" s="8" t="s">
        <v>1526</v>
      </c>
    </row>
    <row r="451" customFormat="false" ht="15" hidden="false" customHeight="false" outlineLevel="0" collapsed="false">
      <c r="A451" s="8" t="n">
        <v>130</v>
      </c>
      <c r="B451" s="8" t="s">
        <v>1526</v>
      </c>
    </row>
    <row r="452" customFormat="false" ht="15" hidden="false" customHeight="false" outlineLevel="0" collapsed="false">
      <c r="A452" s="8" t="n">
        <v>133</v>
      </c>
      <c r="B452" s="8" t="s">
        <v>1526</v>
      </c>
    </row>
    <row r="453" customFormat="false" ht="15" hidden="false" customHeight="false" outlineLevel="0" collapsed="false">
      <c r="A453" s="8" t="n">
        <v>137</v>
      </c>
      <c r="B453" s="8" t="s">
        <v>1526</v>
      </c>
    </row>
    <row r="454" customFormat="false" ht="15" hidden="false" customHeight="false" outlineLevel="0" collapsed="false">
      <c r="A454" s="8" t="n">
        <v>138</v>
      </c>
      <c r="B454" s="8" t="s">
        <v>1526</v>
      </c>
    </row>
    <row r="455" customFormat="false" ht="15" hidden="false" customHeight="false" outlineLevel="0" collapsed="false">
      <c r="A455" s="8" t="n">
        <v>140</v>
      </c>
      <c r="B455" s="8" t="s">
        <v>1526</v>
      </c>
    </row>
    <row r="456" customFormat="false" ht="15" hidden="false" customHeight="false" outlineLevel="0" collapsed="false">
      <c r="A456" s="8" t="n">
        <v>141</v>
      </c>
      <c r="B456" s="8" t="s">
        <v>1526</v>
      </c>
    </row>
    <row r="457" customFormat="false" ht="15" hidden="false" customHeight="false" outlineLevel="0" collapsed="false">
      <c r="A457" s="8" t="n">
        <v>144</v>
      </c>
      <c r="B457" s="8" t="s">
        <v>1526</v>
      </c>
    </row>
    <row r="458" customFormat="false" ht="15" hidden="false" customHeight="false" outlineLevel="0" collapsed="false">
      <c r="A458" s="8" t="n">
        <v>146</v>
      </c>
      <c r="B458" s="8" t="s">
        <v>1526</v>
      </c>
    </row>
    <row r="459" customFormat="false" ht="15" hidden="false" customHeight="false" outlineLevel="0" collapsed="false">
      <c r="A459" s="8" t="n">
        <v>148</v>
      </c>
      <c r="B459" s="8" t="s">
        <v>1526</v>
      </c>
    </row>
    <row r="460" customFormat="false" ht="15" hidden="false" customHeight="false" outlineLevel="0" collapsed="false">
      <c r="A460" s="8" t="n">
        <v>150</v>
      </c>
      <c r="B460" s="8" t="s">
        <v>1526</v>
      </c>
    </row>
    <row r="461" customFormat="false" ht="15" hidden="false" customHeight="false" outlineLevel="0" collapsed="false">
      <c r="A461" s="8" t="n">
        <v>154</v>
      </c>
      <c r="B461" s="8" t="s">
        <v>1526</v>
      </c>
    </row>
    <row r="462" customFormat="false" ht="15" hidden="false" customHeight="false" outlineLevel="0" collapsed="false">
      <c r="A462" s="8" t="n">
        <v>157</v>
      </c>
      <c r="B462" s="8" t="s">
        <v>1526</v>
      </c>
    </row>
    <row r="463" customFormat="false" ht="15" hidden="false" customHeight="false" outlineLevel="0" collapsed="false">
      <c r="A463" s="8" t="n">
        <v>164</v>
      </c>
      <c r="B463" s="8" t="s">
        <v>1526</v>
      </c>
    </row>
    <row r="464" customFormat="false" ht="15" hidden="false" customHeight="false" outlineLevel="0" collapsed="false">
      <c r="A464" s="8" t="n">
        <v>168</v>
      </c>
      <c r="B464" s="8" t="s">
        <v>1526</v>
      </c>
    </row>
    <row r="465" customFormat="false" ht="15" hidden="false" customHeight="false" outlineLevel="0" collapsed="false">
      <c r="A465" s="8" t="n">
        <v>170</v>
      </c>
      <c r="B465" s="8" t="s">
        <v>1526</v>
      </c>
    </row>
    <row r="466" customFormat="false" ht="15" hidden="false" customHeight="false" outlineLevel="0" collapsed="false">
      <c r="A466" s="8" t="n">
        <v>171</v>
      </c>
      <c r="B466" s="8" t="s">
        <v>1526</v>
      </c>
    </row>
    <row r="467" customFormat="false" ht="15" hidden="false" customHeight="false" outlineLevel="0" collapsed="false">
      <c r="A467" s="8" t="n">
        <v>172</v>
      </c>
      <c r="B467" s="8" t="s">
        <v>1526</v>
      </c>
    </row>
    <row r="468" customFormat="false" ht="15" hidden="false" customHeight="false" outlineLevel="0" collapsed="false">
      <c r="A468" s="8" t="n">
        <v>176</v>
      </c>
      <c r="B468" s="8" t="s">
        <v>1526</v>
      </c>
    </row>
    <row r="469" customFormat="false" ht="15" hidden="false" customHeight="false" outlineLevel="0" collapsed="false">
      <c r="A469" s="8" t="n">
        <v>177</v>
      </c>
      <c r="B469" s="8" t="s">
        <v>1526</v>
      </c>
    </row>
    <row r="470" customFormat="false" ht="15" hidden="false" customHeight="false" outlineLevel="0" collapsed="false">
      <c r="A470" s="8" t="n">
        <v>178</v>
      </c>
      <c r="B470" s="8" t="s">
        <v>1526</v>
      </c>
    </row>
    <row r="471" customFormat="false" ht="15" hidden="false" customHeight="false" outlineLevel="0" collapsed="false">
      <c r="A471" s="8" t="n">
        <v>179</v>
      </c>
      <c r="B471" s="8" t="s">
        <v>1526</v>
      </c>
    </row>
    <row r="472" customFormat="false" ht="15" hidden="false" customHeight="false" outlineLevel="0" collapsed="false">
      <c r="A472" s="8" t="n">
        <v>183</v>
      </c>
      <c r="B472" s="8" t="s">
        <v>1526</v>
      </c>
    </row>
    <row r="473" customFormat="false" ht="15" hidden="false" customHeight="false" outlineLevel="0" collapsed="false">
      <c r="A473" s="8" t="n">
        <v>185</v>
      </c>
      <c r="B473" s="8" t="s">
        <v>1526</v>
      </c>
    </row>
    <row r="474" customFormat="false" ht="15" hidden="false" customHeight="false" outlineLevel="0" collapsed="false">
      <c r="A474" s="8" t="n">
        <v>186</v>
      </c>
      <c r="B474" s="8" t="s">
        <v>1526</v>
      </c>
    </row>
    <row r="475" customFormat="false" ht="15" hidden="false" customHeight="false" outlineLevel="0" collapsed="false">
      <c r="A475" s="8" t="n">
        <v>187</v>
      </c>
      <c r="B475" s="8" t="s">
        <v>1526</v>
      </c>
    </row>
    <row r="476" customFormat="false" ht="15" hidden="false" customHeight="false" outlineLevel="0" collapsed="false">
      <c r="A476" s="8" t="n">
        <v>193</v>
      </c>
      <c r="B476" s="8" t="s">
        <v>1526</v>
      </c>
    </row>
    <row r="477" customFormat="false" ht="15" hidden="false" customHeight="false" outlineLevel="0" collapsed="false">
      <c r="A477" s="8" t="n">
        <v>194</v>
      </c>
      <c r="B477" s="8" t="s">
        <v>1526</v>
      </c>
    </row>
    <row r="478" customFormat="false" ht="15" hidden="false" customHeight="false" outlineLevel="0" collapsed="false">
      <c r="A478" s="8" t="n">
        <v>199</v>
      </c>
      <c r="B478" s="8" t="s">
        <v>1526</v>
      </c>
    </row>
    <row r="479" customFormat="false" ht="15" hidden="false" customHeight="false" outlineLevel="0" collapsed="false">
      <c r="A479" s="8" t="n">
        <v>206</v>
      </c>
      <c r="B479" s="8" t="s">
        <v>1526</v>
      </c>
    </row>
    <row r="480" customFormat="false" ht="15" hidden="false" customHeight="false" outlineLevel="0" collapsed="false">
      <c r="A480" s="8" t="n">
        <v>208</v>
      </c>
      <c r="B480" s="8" t="s">
        <v>1526</v>
      </c>
    </row>
    <row r="481" customFormat="false" ht="15" hidden="false" customHeight="false" outlineLevel="0" collapsed="false">
      <c r="A481" s="8" t="n">
        <v>213</v>
      </c>
      <c r="B481" s="8" t="s">
        <v>1526</v>
      </c>
    </row>
    <row r="482" customFormat="false" ht="15" hidden="false" customHeight="false" outlineLevel="0" collapsed="false">
      <c r="A482" s="8" t="n">
        <v>225</v>
      </c>
      <c r="B482" s="8" t="s">
        <v>1526</v>
      </c>
    </row>
    <row r="483" customFormat="false" ht="15" hidden="false" customHeight="false" outlineLevel="0" collapsed="false">
      <c r="A483" s="8" t="n">
        <v>226</v>
      </c>
      <c r="B483" s="8" t="s">
        <v>1526</v>
      </c>
    </row>
    <row r="484" customFormat="false" ht="15" hidden="false" customHeight="false" outlineLevel="0" collapsed="false">
      <c r="A484" s="8" t="n">
        <v>10</v>
      </c>
      <c r="B484" s="8" t="s">
        <v>1527</v>
      </c>
    </row>
    <row r="485" customFormat="false" ht="15" hidden="false" customHeight="false" outlineLevel="0" collapsed="false">
      <c r="A485" s="8" t="n">
        <v>125</v>
      </c>
      <c r="B485" s="8" t="s">
        <v>1527</v>
      </c>
    </row>
    <row r="486" customFormat="false" ht="15" hidden="false" customHeight="false" outlineLevel="0" collapsed="false">
      <c r="A486" s="8" t="n">
        <v>123</v>
      </c>
      <c r="B486" s="8" t="s">
        <v>1528</v>
      </c>
    </row>
    <row r="487" customFormat="false" ht="15" hidden="false" customHeight="false" outlineLevel="0" collapsed="false">
      <c r="A487" s="8" t="n">
        <v>6</v>
      </c>
      <c r="B487" s="8" t="s">
        <v>1529</v>
      </c>
    </row>
    <row r="488" customFormat="false" ht="15" hidden="false" customHeight="false" outlineLevel="0" collapsed="false">
      <c r="A488" s="8" t="n">
        <v>109</v>
      </c>
      <c r="B488" s="8" t="s">
        <v>1529</v>
      </c>
    </row>
    <row r="489" customFormat="false" ht="15" hidden="false" customHeight="false" outlineLevel="0" collapsed="false">
      <c r="A489" s="8" t="n">
        <v>196</v>
      </c>
      <c r="B489" s="8" t="s">
        <v>1529</v>
      </c>
    </row>
    <row r="490" customFormat="false" ht="15" hidden="false" customHeight="false" outlineLevel="0" collapsed="false">
      <c r="A490" s="8" t="n">
        <v>4</v>
      </c>
      <c r="B490" s="8" t="s">
        <v>1530</v>
      </c>
    </row>
    <row r="491" customFormat="false" ht="15" hidden="false" customHeight="false" outlineLevel="0" collapsed="false">
      <c r="A491" s="8" t="n">
        <v>64</v>
      </c>
      <c r="B491" s="8" t="s">
        <v>1530</v>
      </c>
    </row>
    <row r="492" customFormat="false" ht="15" hidden="false" customHeight="false" outlineLevel="0" collapsed="false">
      <c r="A492" s="8" t="n">
        <v>117</v>
      </c>
      <c r="B492" s="8" t="s">
        <v>1530</v>
      </c>
    </row>
    <row r="493" customFormat="false" ht="15" hidden="false" customHeight="false" outlineLevel="0" collapsed="false">
      <c r="A493" s="8" t="n">
        <v>182</v>
      </c>
      <c r="B493" s="8" t="s">
        <v>1530</v>
      </c>
    </row>
    <row r="494" customFormat="false" ht="15" hidden="false" customHeight="false" outlineLevel="0" collapsed="false">
      <c r="A494" s="8" t="n">
        <v>3</v>
      </c>
      <c r="B494" s="8" t="s">
        <v>1531</v>
      </c>
    </row>
    <row r="495" customFormat="false" ht="15" hidden="false" customHeight="false" outlineLevel="0" collapsed="false">
      <c r="A495" s="8" t="n">
        <v>49</v>
      </c>
      <c r="B495" s="8" t="s">
        <v>1531</v>
      </c>
    </row>
    <row r="496" customFormat="false" ht="15" hidden="false" customHeight="false" outlineLevel="0" collapsed="false">
      <c r="A496" s="8" t="n">
        <v>67</v>
      </c>
      <c r="B496" s="8" t="s">
        <v>1531</v>
      </c>
    </row>
    <row r="497" customFormat="false" ht="15" hidden="false" customHeight="false" outlineLevel="0" collapsed="false">
      <c r="A497" s="8" t="n">
        <v>88</v>
      </c>
      <c r="B497" s="8" t="s">
        <v>1531</v>
      </c>
    </row>
    <row r="498" customFormat="false" ht="15" hidden="false" customHeight="false" outlineLevel="0" collapsed="false">
      <c r="A498" s="8" t="n">
        <v>114</v>
      </c>
      <c r="B498" s="8" t="s">
        <v>1531</v>
      </c>
    </row>
    <row r="499" customFormat="false" ht="15" hidden="false" customHeight="false" outlineLevel="0" collapsed="false">
      <c r="A499" s="8" t="n">
        <v>120</v>
      </c>
      <c r="B499" s="8" t="s">
        <v>1531</v>
      </c>
    </row>
    <row r="500" customFormat="false" ht="15" hidden="false" customHeight="false" outlineLevel="0" collapsed="false">
      <c r="A500" s="8" t="n">
        <v>126</v>
      </c>
      <c r="B500" s="8" t="s">
        <v>1531</v>
      </c>
    </row>
    <row r="501" customFormat="false" ht="15" hidden="false" customHeight="false" outlineLevel="0" collapsed="false">
      <c r="A501" s="8" t="n">
        <v>135</v>
      </c>
      <c r="B501" s="8" t="s">
        <v>1531</v>
      </c>
    </row>
    <row r="502" customFormat="false" ht="15" hidden="false" customHeight="false" outlineLevel="0" collapsed="false">
      <c r="A502" s="8" t="n">
        <v>157</v>
      </c>
      <c r="B502" s="8" t="s">
        <v>1531</v>
      </c>
    </row>
    <row r="503" customFormat="false" ht="15" hidden="false" customHeight="false" outlineLevel="0" collapsed="false">
      <c r="A503" s="8" t="n">
        <v>206</v>
      </c>
      <c r="B503" s="8" t="s">
        <v>1531</v>
      </c>
    </row>
    <row r="504" customFormat="false" ht="15" hidden="false" customHeight="false" outlineLevel="0" collapsed="false">
      <c r="A504" s="8" t="n">
        <v>208</v>
      </c>
      <c r="B504" s="8" t="s">
        <v>1531</v>
      </c>
    </row>
    <row r="505" customFormat="false" ht="15" hidden="false" customHeight="false" outlineLevel="0" collapsed="false">
      <c r="A505" s="8" t="n">
        <v>213</v>
      </c>
      <c r="B505" s="8" t="s">
        <v>1531</v>
      </c>
    </row>
    <row r="506" customFormat="false" ht="15" hidden="false" customHeight="false" outlineLevel="0" collapsed="false">
      <c r="A506" s="8" t="n">
        <v>82</v>
      </c>
      <c r="B506" s="8" t="s">
        <v>1532</v>
      </c>
    </row>
    <row r="507" customFormat="false" ht="15" hidden="false" customHeight="false" outlineLevel="0" collapsed="false">
      <c r="A507" s="8" t="n">
        <v>113</v>
      </c>
      <c r="B507" s="8" t="s">
        <v>1532</v>
      </c>
    </row>
    <row r="508" customFormat="false" ht="15" hidden="false" customHeight="false" outlineLevel="0" collapsed="false">
      <c r="A508" s="8" t="n">
        <v>59</v>
      </c>
      <c r="B508" s="8" t="s">
        <v>1533</v>
      </c>
    </row>
    <row r="509" customFormat="false" ht="15" hidden="false" customHeight="false" outlineLevel="0" collapsed="false">
      <c r="A509" s="8" t="n">
        <v>109</v>
      </c>
      <c r="B509" s="8" t="s">
        <v>1533</v>
      </c>
    </row>
    <row r="510" customFormat="false" ht="15" hidden="false" customHeight="false" outlineLevel="0" collapsed="false">
      <c r="A510" s="8" t="n">
        <v>111</v>
      </c>
      <c r="B510" s="8" t="s">
        <v>1533</v>
      </c>
    </row>
    <row r="511" customFormat="false" ht="15" hidden="false" customHeight="false" outlineLevel="0" collapsed="false">
      <c r="A511" s="8" t="n">
        <v>188</v>
      </c>
      <c r="B511" s="8" t="s">
        <v>1534</v>
      </c>
    </row>
    <row r="512" customFormat="false" ht="15" hidden="false" customHeight="false" outlineLevel="0" collapsed="false">
      <c r="A512" s="8" t="n">
        <v>188</v>
      </c>
      <c r="B512" s="8" t="s">
        <v>1535</v>
      </c>
    </row>
    <row r="513" customFormat="false" ht="15" hidden="false" customHeight="false" outlineLevel="0" collapsed="false">
      <c r="A513" s="8" t="n">
        <v>1</v>
      </c>
      <c r="B513" s="8" t="s">
        <v>1536</v>
      </c>
    </row>
    <row r="514" customFormat="false" ht="15" hidden="false" customHeight="false" outlineLevel="0" collapsed="false">
      <c r="A514" s="8" t="n">
        <v>4</v>
      </c>
      <c r="B514" s="8" t="s">
        <v>1536</v>
      </c>
    </row>
    <row r="515" customFormat="false" ht="15" hidden="false" customHeight="false" outlineLevel="0" collapsed="false">
      <c r="A515" s="8" t="n">
        <v>7</v>
      </c>
      <c r="B515" s="8" t="s">
        <v>1536</v>
      </c>
    </row>
    <row r="516" customFormat="false" ht="15" hidden="false" customHeight="false" outlineLevel="0" collapsed="false">
      <c r="A516" s="8" t="n">
        <v>10</v>
      </c>
      <c r="B516" s="8" t="s">
        <v>1536</v>
      </c>
    </row>
    <row r="517" customFormat="false" ht="15" hidden="false" customHeight="false" outlineLevel="0" collapsed="false">
      <c r="A517" s="8" t="n">
        <v>12</v>
      </c>
      <c r="B517" s="8" t="s">
        <v>1536</v>
      </c>
    </row>
    <row r="518" customFormat="false" ht="15" hidden="false" customHeight="false" outlineLevel="0" collapsed="false">
      <c r="A518" s="8" t="n">
        <v>25</v>
      </c>
      <c r="B518" s="8" t="s">
        <v>1536</v>
      </c>
    </row>
    <row r="519" customFormat="false" ht="15" hidden="false" customHeight="false" outlineLevel="0" collapsed="false">
      <c r="A519" s="8" t="n">
        <v>27</v>
      </c>
      <c r="B519" s="8" t="s">
        <v>1536</v>
      </c>
    </row>
    <row r="520" customFormat="false" ht="15" hidden="false" customHeight="false" outlineLevel="0" collapsed="false">
      <c r="A520" s="8" t="n">
        <v>29</v>
      </c>
      <c r="B520" s="8" t="s">
        <v>1536</v>
      </c>
    </row>
    <row r="521" customFormat="false" ht="15" hidden="false" customHeight="false" outlineLevel="0" collapsed="false">
      <c r="A521" s="8" t="n">
        <v>33</v>
      </c>
      <c r="B521" s="8" t="s">
        <v>1536</v>
      </c>
    </row>
    <row r="522" customFormat="false" ht="15" hidden="false" customHeight="false" outlineLevel="0" collapsed="false">
      <c r="A522" s="8" t="n">
        <v>39</v>
      </c>
      <c r="B522" s="8" t="s">
        <v>1536</v>
      </c>
    </row>
    <row r="523" customFormat="false" ht="15" hidden="false" customHeight="false" outlineLevel="0" collapsed="false">
      <c r="A523" s="8" t="n">
        <v>50</v>
      </c>
      <c r="B523" s="8" t="s">
        <v>1536</v>
      </c>
    </row>
    <row r="524" customFormat="false" ht="15" hidden="false" customHeight="false" outlineLevel="0" collapsed="false">
      <c r="A524" s="8" t="n">
        <v>51</v>
      </c>
      <c r="B524" s="8" t="s">
        <v>1536</v>
      </c>
    </row>
    <row r="525" customFormat="false" ht="15" hidden="false" customHeight="false" outlineLevel="0" collapsed="false">
      <c r="A525" s="8" t="n">
        <v>53</v>
      </c>
      <c r="B525" s="8" t="s">
        <v>1536</v>
      </c>
    </row>
    <row r="526" customFormat="false" ht="15" hidden="false" customHeight="false" outlineLevel="0" collapsed="false">
      <c r="A526" s="8" t="n">
        <v>58</v>
      </c>
      <c r="B526" s="8" t="s">
        <v>1536</v>
      </c>
    </row>
    <row r="527" customFormat="false" ht="15" hidden="false" customHeight="false" outlineLevel="0" collapsed="false">
      <c r="A527" s="8" t="n">
        <v>59</v>
      </c>
      <c r="B527" s="8" t="s">
        <v>1536</v>
      </c>
    </row>
    <row r="528" customFormat="false" ht="15" hidden="false" customHeight="false" outlineLevel="0" collapsed="false">
      <c r="A528" s="8" t="n">
        <v>66</v>
      </c>
      <c r="B528" s="8" t="s">
        <v>1536</v>
      </c>
    </row>
    <row r="529" customFormat="false" ht="15" hidden="false" customHeight="false" outlineLevel="0" collapsed="false">
      <c r="A529" s="8" t="n">
        <v>74</v>
      </c>
      <c r="B529" s="8" t="s">
        <v>1536</v>
      </c>
    </row>
    <row r="530" customFormat="false" ht="15" hidden="false" customHeight="false" outlineLevel="0" collapsed="false">
      <c r="A530" s="8" t="n">
        <v>79</v>
      </c>
      <c r="B530" s="8" t="s">
        <v>1536</v>
      </c>
    </row>
    <row r="531" customFormat="false" ht="15" hidden="false" customHeight="false" outlineLevel="0" collapsed="false">
      <c r="A531" s="8" t="n">
        <v>90</v>
      </c>
      <c r="B531" s="8" t="s">
        <v>1536</v>
      </c>
    </row>
    <row r="532" customFormat="false" ht="15" hidden="false" customHeight="false" outlineLevel="0" collapsed="false">
      <c r="A532" s="8" t="n">
        <v>98</v>
      </c>
      <c r="B532" s="8" t="s">
        <v>1536</v>
      </c>
    </row>
    <row r="533" customFormat="false" ht="15" hidden="false" customHeight="false" outlineLevel="0" collapsed="false">
      <c r="A533" s="8" t="n">
        <v>100</v>
      </c>
      <c r="B533" s="8" t="s">
        <v>1536</v>
      </c>
    </row>
    <row r="534" customFormat="false" ht="15" hidden="false" customHeight="false" outlineLevel="0" collapsed="false">
      <c r="A534" s="8" t="n">
        <v>102</v>
      </c>
      <c r="B534" s="8" t="s">
        <v>1536</v>
      </c>
    </row>
    <row r="535" customFormat="false" ht="15" hidden="false" customHeight="false" outlineLevel="0" collapsed="false">
      <c r="A535" s="8" t="n">
        <v>103</v>
      </c>
      <c r="B535" s="8" t="s">
        <v>1536</v>
      </c>
    </row>
    <row r="536" customFormat="false" ht="15" hidden="false" customHeight="false" outlineLevel="0" collapsed="false">
      <c r="A536" s="8" t="n">
        <v>105</v>
      </c>
      <c r="B536" s="8" t="s">
        <v>1536</v>
      </c>
    </row>
    <row r="537" customFormat="false" ht="15" hidden="false" customHeight="false" outlineLevel="0" collapsed="false">
      <c r="A537" s="8" t="n">
        <v>109</v>
      </c>
      <c r="B537" s="8" t="s">
        <v>1536</v>
      </c>
    </row>
    <row r="538" customFormat="false" ht="15" hidden="false" customHeight="false" outlineLevel="0" collapsed="false">
      <c r="A538" s="8" t="n">
        <v>112</v>
      </c>
      <c r="B538" s="8" t="s">
        <v>1536</v>
      </c>
    </row>
    <row r="539" customFormat="false" ht="15" hidden="false" customHeight="false" outlineLevel="0" collapsed="false">
      <c r="A539" s="8" t="n">
        <v>124</v>
      </c>
      <c r="B539" s="8" t="s">
        <v>1536</v>
      </c>
    </row>
    <row r="540" customFormat="false" ht="15" hidden="false" customHeight="false" outlineLevel="0" collapsed="false">
      <c r="A540" s="8" t="n">
        <v>130</v>
      </c>
      <c r="B540" s="8" t="s">
        <v>1536</v>
      </c>
    </row>
    <row r="541" customFormat="false" ht="15" hidden="false" customHeight="false" outlineLevel="0" collapsed="false">
      <c r="A541" s="8" t="n">
        <v>133</v>
      </c>
      <c r="B541" s="8" t="s">
        <v>1536</v>
      </c>
    </row>
    <row r="542" customFormat="false" ht="15" hidden="false" customHeight="false" outlineLevel="0" collapsed="false">
      <c r="A542" s="8" t="n">
        <v>135</v>
      </c>
      <c r="B542" s="8" t="s">
        <v>1536</v>
      </c>
    </row>
    <row r="543" customFormat="false" ht="15" hidden="false" customHeight="false" outlineLevel="0" collapsed="false">
      <c r="A543" s="8" t="n">
        <v>139</v>
      </c>
      <c r="B543" s="8" t="s">
        <v>1536</v>
      </c>
    </row>
    <row r="544" customFormat="false" ht="15" hidden="false" customHeight="false" outlineLevel="0" collapsed="false">
      <c r="A544" s="8" t="n">
        <v>148</v>
      </c>
      <c r="B544" s="8" t="s">
        <v>1536</v>
      </c>
    </row>
    <row r="545" customFormat="false" ht="15" hidden="false" customHeight="false" outlineLevel="0" collapsed="false">
      <c r="A545" s="8" t="n">
        <v>149</v>
      </c>
      <c r="B545" s="8" t="s">
        <v>1536</v>
      </c>
    </row>
    <row r="546" customFormat="false" ht="15" hidden="false" customHeight="false" outlineLevel="0" collapsed="false">
      <c r="A546" s="8" t="n">
        <v>154</v>
      </c>
      <c r="B546" s="8" t="s">
        <v>1536</v>
      </c>
    </row>
    <row r="547" customFormat="false" ht="15" hidden="false" customHeight="false" outlineLevel="0" collapsed="false">
      <c r="A547" s="8" t="n">
        <v>155</v>
      </c>
      <c r="B547" s="8" t="s">
        <v>1536</v>
      </c>
    </row>
    <row r="548" customFormat="false" ht="15" hidden="false" customHeight="false" outlineLevel="0" collapsed="false">
      <c r="A548" s="8" t="n">
        <v>167</v>
      </c>
      <c r="B548" s="8" t="s">
        <v>1536</v>
      </c>
    </row>
    <row r="549" customFormat="false" ht="15" hidden="false" customHeight="false" outlineLevel="0" collapsed="false">
      <c r="A549" s="8" t="n">
        <v>193</v>
      </c>
      <c r="B549" s="8" t="s">
        <v>1536</v>
      </c>
    </row>
    <row r="550" customFormat="false" ht="15" hidden="false" customHeight="false" outlineLevel="0" collapsed="false">
      <c r="A550" s="8" t="n">
        <v>196</v>
      </c>
      <c r="B550" s="8" t="s">
        <v>1536</v>
      </c>
    </row>
    <row r="551" customFormat="false" ht="15" hidden="false" customHeight="false" outlineLevel="0" collapsed="false">
      <c r="A551" s="8" t="n">
        <v>108</v>
      </c>
      <c r="B551" s="8" t="s">
        <v>1537</v>
      </c>
    </row>
    <row r="552" customFormat="false" ht="15" hidden="false" customHeight="false" outlineLevel="0" collapsed="false">
      <c r="A552" s="8" t="n">
        <v>24</v>
      </c>
      <c r="B552" s="8" t="s">
        <v>1538</v>
      </c>
    </row>
    <row r="553" customFormat="false" ht="15" hidden="false" customHeight="false" outlineLevel="0" collapsed="false">
      <c r="A553" s="8" t="n">
        <v>229</v>
      </c>
      <c r="B553" s="8" t="s">
        <v>1538</v>
      </c>
    </row>
    <row r="554" customFormat="false" ht="15" hidden="false" customHeight="false" outlineLevel="0" collapsed="false">
      <c r="A554" s="8" t="n">
        <v>81</v>
      </c>
      <c r="B554" s="8" t="s">
        <v>1539</v>
      </c>
    </row>
    <row r="555" customFormat="false" ht="15" hidden="false" customHeight="false" outlineLevel="0" collapsed="false">
      <c r="A555" s="8" t="n">
        <v>95</v>
      </c>
      <c r="B555" s="8" t="s">
        <v>1539</v>
      </c>
    </row>
    <row r="556" customFormat="false" ht="15" hidden="false" customHeight="false" outlineLevel="0" collapsed="false">
      <c r="A556" s="8" t="n">
        <v>96</v>
      </c>
      <c r="B556" s="8" t="s">
        <v>1539</v>
      </c>
    </row>
    <row r="557" customFormat="false" ht="15" hidden="false" customHeight="false" outlineLevel="0" collapsed="false">
      <c r="A557" s="8" t="n">
        <v>122</v>
      </c>
      <c r="B557" s="8" t="s">
        <v>1539</v>
      </c>
    </row>
    <row r="558" customFormat="false" ht="15" hidden="false" customHeight="false" outlineLevel="0" collapsed="false">
      <c r="A558" s="8" t="n">
        <v>136</v>
      </c>
      <c r="B558" s="8" t="s">
        <v>1539</v>
      </c>
    </row>
    <row r="559" customFormat="false" ht="15" hidden="false" customHeight="false" outlineLevel="0" collapsed="false">
      <c r="A559" s="8" t="n">
        <v>152</v>
      </c>
      <c r="B559" s="8" t="s">
        <v>1539</v>
      </c>
    </row>
    <row r="560" customFormat="false" ht="15" hidden="false" customHeight="false" outlineLevel="0" collapsed="false">
      <c r="A560" s="8" t="n">
        <v>160</v>
      </c>
      <c r="B560" s="8" t="s">
        <v>1539</v>
      </c>
    </row>
    <row r="561" customFormat="false" ht="15" hidden="false" customHeight="false" outlineLevel="0" collapsed="false">
      <c r="A561" s="8" t="n">
        <v>188</v>
      </c>
      <c r="B561" s="8" t="s">
        <v>1539</v>
      </c>
    </row>
    <row r="562" customFormat="false" ht="15" hidden="false" customHeight="false" outlineLevel="0" collapsed="false">
      <c r="A562" s="8" t="n">
        <v>200</v>
      </c>
      <c r="B562" s="8" t="s">
        <v>1539</v>
      </c>
    </row>
    <row r="563" customFormat="false" ht="15" hidden="false" customHeight="false" outlineLevel="0" collapsed="false">
      <c r="A563" s="8" t="n">
        <v>204</v>
      </c>
      <c r="B563" s="8" t="s">
        <v>1539</v>
      </c>
    </row>
    <row r="564" customFormat="false" ht="15" hidden="false" customHeight="false" outlineLevel="0" collapsed="false">
      <c r="A564" s="8" t="n">
        <v>227</v>
      </c>
      <c r="B564" s="8" t="s">
        <v>1539</v>
      </c>
    </row>
    <row r="565" customFormat="false" ht="15" hidden="false" customHeight="false" outlineLevel="0" collapsed="false">
      <c r="A565" s="8" t="n">
        <v>2</v>
      </c>
      <c r="B565" s="8" t="s">
        <v>1540</v>
      </c>
    </row>
    <row r="566" customFormat="false" ht="15" hidden="false" customHeight="false" outlineLevel="0" collapsed="false">
      <c r="A566" s="8" t="n">
        <v>8</v>
      </c>
      <c r="B566" s="8" t="s">
        <v>1540</v>
      </c>
    </row>
    <row r="567" customFormat="false" ht="15" hidden="false" customHeight="false" outlineLevel="0" collapsed="false">
      <c r="A567" s="8" t="n">
        <v>24</v>
      </c>
      <c r="B567" s="8" t="s">
        <v>1540</v>
      </c>
    </row>
    <row r="568" customFormat="false" ht="15" hidden="false" customHeight="false" outlineLevel="0" collapsed="false">
      <c r="A568" s="8" t="n">
        <v>34</v>
      </c>
      <c r="B568" s="8" t="s">
        <v>1540</v>
      </c>
    </row>
    <row r="569" customFormat="false" ht="15" hidden="false" customHeight="false" outlineLevel="0" collapsed="false">
      <c r="A569" s="8" t="n">
        <v>45</v>
      </c>
      <c r="B569" s="8" t="s">
        <v>1540</v>
      </c>
    </row>
    <row r="570" customFormat="false" ht="15" hidden="false" customHeight="false" outlineLevel="0" collapsed="false">
      <c r="A570" s="8" t="n">
        <v>58</v>
      </c>
      <c r="B570" s="8" t="s">
        <v>1540</v>
      </c>
    </row>
    <row r="571" customFormat="false" ht="15" hidden="false" customHeight="false" outlineLevel="0" collapsed="false">
      <c r="A571" s="8" t="n">
        <v>71</v>
      </c>
      <c r="B571" s="8" t="s">
        <v>1540</v>
      </c>
    </row>
    <row r="572" customFormat="false" ht="15" hidden="false" customHeight="false" outlineLevel="0" collapsed="false">
      <c r="A572" s="8" t="n">
        <v>105</v>
      </c>
      <c r="B572" s="8" t="s">
        <v>1540</v>
      </c>
    </row>
    <row r="573" customFormat="false" ht="15" hidden="false" customHeight="false" outlineLevel="0" collapsed="false">
      <c r="A573" s="8" t="n">
        <v>120</v>
      </c>
      <c r="B573" s="8" t="s">
        <v>1540</v>
      </c>
    </row>
    <row r="574" customFormat="false" ht="15" hidden="false" customHeight="false" outlineLevel="0" collapsed="false">
      <c r="A574" s="8" t="n">
        <v>125</v>
      </c>
      <c r="B574" s="8" t="s">
        <v>1540</v>
      </c>
    </row>
    <row r="575" customFormat="false" ht="15" hidden="false" customHeight="false" outlineLevel="0" collapsed="false">
      <c r="A575" s="8" t="n">
        <v>128</v>
      </c>
      <c r="B575" s="8" t="s">
        <v>1540</v>
      </c>
    </row>
    <row r="576" customFormat="false" ht="15" hidden="false" customHeight="false" outlineLevel="0" collapsed="false">
      <c r="A576" s="8" t="n">
        <v>132</v>
      </c>
      <c r="B576" s="8" t="s">
        <v>1540</v>
      </c>
    </row>
    <row r="577" customFormat="false" ht="15" hidden="false" customHeight="false" outlineLevel="0" collapsed="false">
      <c r="A577" s="8" t="n">
        <v>1</v>
      </c>
      <c r="B577" s="8" t="s">
        <v>1541</v>
      </c>
    </row>
    <row r="578" customFormat="false" ht="15" hidden="false" customHeight="false" outlineLevel="0" collapsed="false">
      <c r="A578" s="8" t="n">
        <v>5</v>
      </c>
      <c r="B578" s="8" t="s">
        <v>1541</v>
      </c>
    </row>
    <row r="579" customFormat="false" ht="15" hidden="false" customHeight="false" outlineLevel="0" collapsed="false">
      <c r="A579" s="8" t="n">
        <v>6</v>
      </c>
      <c r="B579" s="8" t="s">
        <v>1541</v>
      </c>
    </row>
    <row r="580" customFormat="false" ht="15" hidden="false" customHeight="false" outlineLevel="0" collapsed="false">
      <c r="A580" s="8" t="n">
        <v>7</v>
      </c>
      <c r="B580" s="8" t="s">
        <v>1541</v>
      </c>
    </row>
    <row r="581" customFormat="false" ht="15" hidden="false" customHeight="false" outlineLevel="0" collapsed="false">
      <c r="A581" s="8" t="n">
        <v>9</v>
      </c>
      <c r="B581" s="8" t="s">
        <v>1541</v>
      </c>
    </row>
    <row r="582" customFormat="false" ht="15" hidden="false" customHeight="false" outlineLevel="0" collapsed="false">
      <c r="A582" s="8" t="n">
        <v>11</v>
      </c>
      <c r="B582" s="8" t="s">
        <v>1541</v>
      </c>
    </row>
    <row r="583" customFormat="false" ht="15" hidden="false" customHeight="false" outlineLevel="0" collapsed="false">
      <c r="A583" s="8" t="n">
        <v>13</v>
      </c>
      <c r="B583" s="8" t="s">
        <v>1541</v>
      </c>
    </row>
    <row r="584" customFormat="false" ht="15" hidden="false" customHeight="false" outlineLevel="0" collapsed="false">
      <c r="A584" s="8" t="n">
        <v>15</v>
      </c>
      <c r="B584" s="8" t="s">
        <v>1541</v>
      </c>
    </row>
    <row r="585" customFormat="false" ht="15" hidden="false" customHeight="false" outlineLevel="0" collapsed="false">
      <c r="A585" s="8" t="n">
        <v>16</v>
      </c>
      <c r="B585" s="8" t="s">
        <v>1541</v>
      </c>
    </row>
    <row r="586" customFormat="false" ht="15" hidden="false" customHeight="false" outlineLevel="0" collapsed="false">
      <c r="A586" s="8" t="n">
        <v>17</v>
      </c>
      <c r="B586" s="8" t="s">
        <v>1541</v>
      </c>
    </row>
    <row r="587" customFormat="false" ht="15" hidden="false" customHeight="false" outlineLevel="0" collapsed="false">
      <c r="A587" s="8" t="n">
        <v>18</v>
      </c>
      <c r="B587" s="8" t="s">
        <v>1541</v>
      </c>
    </row>
    <row r="588" customFormat="false" ht="15" hidden="false" customHeight="false" outlineLevel="0" collapsed="false">
      <c r="A588" s="8" t="n">
        <v>19</v>
      </c>
      <c r="B588" s="8" t="s">
        <v>1541</v>
      </c>
    </row>
    <row r="589" customFormat="false" ht="15" hidden="false" customHeight="false" outlineLevel="0" collapsed="false">
      <c r="A589" s="8" t="n">
        <v>20</v>
      </c>
      <c r="B589" s="8" t="s">
        <v>1541</v>
      </c>
    </row>
    <row r="590" customFormat="false" ht="15" hidden="false" customHeight="false" outlineLevel="0" collapsed="false">
      <c r="A590" s="8" t="n">
        <v>21</v>
      </c>
      <c r="B590" s="8" t="s">
        <v>1541</v>
      </c>
    </row>
    <row r="591" customFormat="false" ht="15" hidden="false" customHeight="false" outlineLevel="0" collapsed="false">
      <c r="A591" s="8" t="n">
        <v>23</v>
      </c>
      <c r="B591" s="8" t="s">
        <v>1541</v>
      </c>
    </row>
    <row r="592" customFormat="false" ht="15" hidden="false" customHeight="false" outlineLevel="0" collapsed="false">
      <c r="A592" s="8" t="n">
        <v>25</v>
      </c>
      <c r="B592" s="8" t="s">
        <v>1541</v>
      </c>
    </row>
    <row r="593" customFormat="false" ht="15" hidden="false" customHeight="false" outlineLevel="0" collapsed="false">
      <c r="A593" s="8" t="n">
        <v>26</v>
      </c>
      <c r="B593" s="8" t="s">
        <v>1541</v>
      </c>
    </row>
    <row r="594" customFormat="false" ht="15" hidden="false" customHeight="false" outlineLevel="0" collapsed="false">
      <c r="A594" s="8" t="n">
        <v>27</v>
      </c>
      <c r="B594" s="8" t="s">
        <v>1541</v>
      </c>
    </row>
    <row r="595" customFormat="false" ht="15" hidden="false" customHeight="false" outlineLevel="0" collapsed="false">
      <c r="A595" s="8" t="n">
        <v>28</v>
      </c>
      <c r="B595" s="8" t="s">
        <v>1541</v>
      </c>
    </row>
    <row r="596" customFormat="false" ht="15" hidden="false" customHeight="false" outlineLevel="0" collapsed="false">
      <c r="A596" s="8" t="n">
        <v>29</v>
      </c>
      <c r="B596" s="8" t="s">
        <v>1541</v>
      </c>
    </row>
    <row r="597" customFormat="false" ht="15" hidden="false" customHeight="false" outlineLevel="0" collapsed="false">
      <c r="A597" s="8" t="n">
        <v>31</v>
      </c>
      <c r="B597" s="8" t="s">
        <v>1541</v>
      </c>
    </row>
    <row r="598" customFormat="false" ht="15" hidden="false" customHeight="false" outlineLevel="0" collapsed="false">
      <c r="A598" s="8" t="n">
        <v>33</v>
      </c>
      <c r="B598" s="8" t="s">
        <v>1541</v>
      </c>
    </row>
    <row r="599" customFormat="false" ht="15" hidden="false" customHeight="false" outlineLevel="0" collapsed="false">
      <c r="A599" s="8" t="n">
        <v>34</v>
      </c>
      <c r="B599" s="8" t="s">
        <v>1541</v>
      </c>
    </row>
    <row r="600" customFormat="false" ht="15" hidden="false" customHeight="false" outlineLevel="0" collapsed="false">
      <c r="A600" s="8" t="n">
        <v>36</v>
      </c>
      <c r="B600" s="8" t="s">
        <v>1541</v>
      </c>
    </row>
    <row r="601" customFormat="false" ht="15" hidden="false" customHeight="false" outlineLevel="0" collapsed="false">
      <c r="A601" s="8" t="n">
        <v>38</v>
      </c>
      <c r="B601" s="8" t="s">
        <v>1541</v>
      </c>
    </row>
    <row r="602" customFormat="false" ht="15" hidden="false" customHeight="false" outlineLevel="0" collapsed="false">
      <c r="A602" s="8" t="n">
        <v>39</v>
      </c>
      <c r="B602" s="8" t="s">
        <v>1541</v>
      </c>
    </row>
    <row r="603" customFormat="false" ht="15" hidden="false" customHeight="false" outlineLevel="0" collapsed="false">
      <c r="A603" s="8" t="n">
        <v>40</v>
      </c>
      <c r="B603" s="8" t="s">
        <v>1541</v>
      </c>
    </row>
    <row r="604" customFormat="false" ht="15" hidden="false" customHeight="false" outlineLevel="0" collapsed="false">
      <c r="A604" s="8" t="n">
        <v>41</v>
      </c>
      <c r="B604" s="8" t="s">
        <v>1541</v>
      </c>
    </row>
    <row r="605" customFormat="false" ht="15" hidden="false" customHeight="false" outlineLevel="0" collapsed="false">
      <c r="A605" s="8" t="n">
        <v>46</v>
      </c>
      <c r="B605" s="8" t="s">
        <v>1541</v>
      </c>
    </row>
    <row r="606" customFormat="false" ht="15" hidden="false" customHeight="false" outlineLevel="0" collapsed="false">
      <c r="A606" s="8" t="n">
        <v>48</v>
      </c>
      <c r="B606" s="8" t="s">
        <v>1541</v>
      </c>
    </row>
    <row r="607" customFormat="false" ht="15" hidden="false" customHeight="false" outlineLevel="0" collapsed="false">
      <c r="A607" s="8" t="n">
        <v>49</v>
      </c>
      <c r="B607" s="8" t="s">
        <v>1541</v>
      </c>
    </row>
    <row r="608" customFormat="false" ht="15" hidden="false" customHeight="false" outlineLevel="0" collapsed="false">
      <c r="A608" s="8" t="n">
        <v>50</v>
      </c>
      <c r="B608" s="8" t="s">
        <v>1541</v>
      </c>
    </row>
    <row r="609" customFormat="false" ht="15" hidden="false" customHeight="false" outlineLevel="0" collapsed="false">
      <c r="A609" s="8" t="n">
        <v>51</v>
      </c>
      <c r="B609" s="8" t="s">
        <v>1541</v>
      </c>
    </row>
    <row r="610" customFormat="false" ht="15" hidden="false" customHeight="false" outlineLevel="0" collapsed="false">
      <c r="A610" s="8" t="n">
        <v>52</v>
      </c>
      <c r="B610" s="8" t="s">
        <v>1541</v>
      </c>
    </row>
    <row r="611" customFormat="false" ht="15" hidden="false" customHeight="false" outlineLevel="0" collapsed="false">
      <c r="A611" s="8" t="n">
        <v>54</v>
      </c>
      <c r="B611" s="8" t="s">
        <v>1541</v>
      </c>
    </row>
    <row r="612" customFormat="false" ht="15" hidden="false" customHeight="false" outlineLevel="0" collapsed="false">
      <c r="A612" s="8" t="n">
        <v>56</v>
      </c>
      <c r="B612" s="8" t="s">
        <v>1541</v>
      </c>
    </row>
    <row r="613" customFormat="false" ht="15" hidden="false" customHeight="false" outlineLevel="0" collapsed="false">
      <c r="A613" s="8" t="n">
        <v>58</v>
      </c>
      <c r="B613" s="8" t="s">
        <v>1541</v>
      </c>
    </row>
    <row r="614" customFormat="false" ht="15" hidden="false" customHeight="false" outlineLevel="0" collapsed="false">
      <c r="A614" s="8" t="n">
        <v>60</v>
      </c>
      <c r="B614" s="8" t="s">
        <v>1541</v>
      </c>
    </row>
    <row r="615" customFormat="false" ht="15" hidden="false" customHeight="false" outlineLevel="0" collapsed="false">
      <c r="A615" s="8" t="n">
        <v>62</v>
      </c>
      <c r="B615" s="8" t="s">
        <v>1541</v>
      </c>
    </row>
    <row r="616" customFormat="false" ht="15" hidden="false" customHeight="false" outlineLevel="0" collapsed="false">
      <c r="A616" s="8" t="n">
        <v>63</v>
      </c>
      <c r="B616" s="8" t="s">
        <v>1541</v>
      </c>
    </row>
    <row r="617" customFormat="false" ht="15" hidden="false" customHeight="false" outlineLevel="0" collapsed="false">
      <c r="A617" s="8" t="n">
        <v>66</v>
      </c>
      <c r="B617" s="8" t="s">
        <v>1541</v>
      </c>
    </row>
    <row r="618" customFormat="false" ht="15" hidden="false" customHeight="false" outlineLevel="0" collapsed="false">
      <c r="A618" s="8" t="n">
        <v>69</v>
      </c>
      <c r="B618" s="8" t="s">
        <v>1541</v>
      </c>
    </row>
    <row r="619" customFormat="false" ht="15" hidden="false" customHeight="false" outlineLevel="0" collapsed="false">
      <c r="A619" s="8" t="n">
        <v>71</v>
      </c>
      <c r="B619" s="8" t="s">
        <v>1541</v>
      </c>
    </row>
    <row r="620" customFormat="false" ht="15" hidden="false" customHeight="false" outlineLevel="0" collapsed="false">
      <c r="A620" s="8" t="n">
        <v>73</v>
      </c>
      <c r="B620" s="8" t="s">
        <v>1541</v>
      </c>
    </row>
    <row r="621" customFormat="false" ht="15" hidden="false" customHeight="false" outlineLevel="0" collapsed="false">
      <c r="A621" s="8" t="n">
        <v>74</v>
      </c>
      <c r="B621" s="8" t="s">
        <v>1541</v>
      </c>
    </row>
    <row r="622" customFormat="false" ht="15" hidden="false" customHeight="false" outlineLevel="0" collapsed="false">
      <c r="A622" s="8" t="n">
        <v>75</v>
      </c>
      <c r="B622" s="8" t="s">
        <v>1541</v>
      </c>
    </row>
    <row r="623" customFormat="false" ht="15" hidden="false" customHeight="false" outlineLevel="0" collapsed="false">
      <c r="A623" s="8" t="n">
        <v>77</v>
      </c>
      <c r="B623" s="8" t="s">
        <v>1541</v>
      </c>
    </row>
    <row r="624" customFormat="false" ht="15" hidden="false" customHeight="false" outlineLevel="0" collapsed="false">
      <c r="A624" s="8" t="n">
        <v>78</v>
      </c>
      <c r="B624" s="8" t="s">
        <v>1541</v>
      </c>
    </row>
    <row r="625" customFormat="false" ht="15" hidden="false" customHeight="false" outlineLevel="0" collapsed="false">
      <c r="A625" s="8" t="n">
        <v>79</v>
      </c>
      <c r="B625" s="8" t="s">
        <v>1541</v>
      </c>
    </row>
    <row r="626" customFormat="false" ht="15" hidden="false" customHeight="false" outlineLevel="0" collapsed="false">
      <c r="A626" s="8" t="n">
        <v>80</v>
      </c>
      <c r="B626" s="8" t="s">
        <v>1541</v>
      </c>
    </row>
    <row r="627" customFormat="false" ht="15" hidden="false" customHeight="false" outlineLevel="0" collapsed="false">
      <c r="A627" s="8" t="n">
        <v>87</v>
      </c>
      <c r="B627" s="8" t="s">
        <v>1541</v>
      </c>
    </row>
    <row r="628" customFormat="false" ht="15" hidden="false" customHeight="false" outlineLevel="0" collapsed="false">
      <c r="A628" s="8" t="n">
        <v>88</v>
      </c>
      <c r="B628" s="8" t="s">
        <v>1541</v>
      </c>
    </row>
    <row r="629" customFormat="false" ht="15" hidden="false" customHeight="false" outlineLevel="0" collapsed="false">
      <c r="A629" s="8" t="n">
        <v>92</v>
      </c>
      <c r="B629" s="8" t="s">
        <v>1541</v>
      </c>
    </row>
    <row r="630" customFormat="false" ht="15" hidden="false" customHeight="false" outlineLevel="0" collapsed="false">
      <c r="A630" s="8" t="n">
        <v>93</v>
      </c>
      <c r="B630" s="8" t="s">
        <v>1541</v>
      </c>
    </row>
    <row r="631" customFormat="false" ht="15" hidden="false" customHeight="false" outlineLevel="0" collapsed="false">
      <c r="A631" s="8" t="n">
        <v>96</v>
      </c>
      <c r="B631" s="8" t="s">
        <v>1541</v>
      </c>
    </row>
    <row r="632" customFormat="false" ht="15" hidden="false" customHeight="false" outlineLevel="0" collapsed="false">
      <c r="A632" s="8" t="n">
        <v>97</v>
      </c>
      <c r="B632" s="8" t="s">
        <v>1541</v>
      </c>
    </row>
    <row r="633" customFormat="false" ht="15" hidden="false" customHeight="false" outlineLevel="0" collapsed="false">
      <c r="A633" s="8" t="n">
        <v>98</v>
      </c>
      <c r="B633" s="8" t="s">
        <v>1541</v>
      </c>
    </row>
    <row r="634" customFormat="false" ht="15" hidden="false" customHeight="false" outlineLevel="0" collapsed="false">
      <c r="A634" s="8" t="n">
        <v>100</v>
      </c>
      <c r="B634" s="8" t="s">
        <v>1541</v>
      </c>
    </row>
    <row r="635" customFormat="false" ht="15" hidden="false" customHeight="false" outlineLevel="0" collapsed="false">
      <c r="A635" s="8" t="n">
        <v>102</v>
      </c>
      <c r="B635" s="8" t="s">
        <v>1541</v>
      </c>
    </row>
    <row r="636" customFormat="false" ht="15" hidden="false" customHeight="false" outlineLevel="0" collapsed="false">
      <c r="A636" s="8" t="n">
        <v>103</v>
      </c>
      <c r="B636" s="8" t="s">
        <v>1541</v>
      </c>
    </row>
    <row r="637" customFormat="false" ht="15" hidden="false" customHeight="false" outlineLevel="0" collapsed="false">
      <c r="A637" s="8" t="n">
        <v>105</v>
      </c>
      <c r="B637" s="8" t="s">
        <v>1541</v>
      </c>
    </row>
    <row r="638" customFormat="false" ht="15" hidden="false" customHeight="false" outlineLevel="0" collapsed="false">
      <c r="A638" s="8" t="n">
        <v>107</v>
      </c>
      <c r="B638" s="8" t="s">
        <v>1541</v>
      </c>
    </row>
    <row r="639" customFormat="false" ht="15" hidden="false" customHeight="false" outlineLevel="0" collapsed="false">
      <c r="A639" s="8" t="n">
        <v>108</v>
      </c>
      <c r="B639" s="8" t="s">
        <v>1541</v>
      </c>
    </row>
    <row r="640" customFormat="false" ht="15" hidden="false" customHeight="false" outlineLevel="0" collapsed="false">
      <c r="A640" s="8" t="n">
        <v>109</v>
      </c>
      <c r="B640" s="8" t="s">
        <v>1541</v>
      </c>
    </row>
    <row r="641" customFormat="false" ht="15" hidden="false" customHeight="false" outlineLevel="0" collapsed="false">
      <c r="A641" s="8" t="n">
        <v>110</v>
      </c>
      <c r="B641" s="8" t="s">
        <v>1541</v>
      </c>
    </row>
    <row r="642" customFormat="false" ht="15" hidden="false" customHeight="false" outlineLevel="0" collapsed="false">
      <c r="A642" s="8" t="n">
        <v>111</v>
      </c>
      <c r="B642" s="8" t="s">
        <v>1541</v>
      </c>
    </row>
    <row r="643" customFormat="false" ht="15" hidden="false" customHeight="false" outlineLevel="0" collapsed="false">
      <c r="A643" s="8" t="n">
        <v>112</v>
      </c>
      <c r="B643" s="8" t="s">
        <v>1541</v>
      </c>
    </row>
    <row r="644" customFormat="false" ht="15" hidden="false" customHeight="false" outlineLevel="0" collapsed="false">
      <c r="A644" s="8" t="n">
        <v>113</v>
      </c>
      <c r="B644" s="8" t="s">
        <v>1541</v>
      </c>
    </row>
    <row r="645" customFormat="false" ht="15" hidden="false" customHeight="false" outlineLevel="0" collapsed="false">
      <c r="A645" s="8" t="n">
        <v>114</v>
      </c>
      <c r="B645" s="8" t="s">
        <v>1541</v>
      </c>
    </row>
    <row r="646" customFormat="false" ht="15" hidden="false" customHeight="false" outlineLevel="0" collapsed="false">
      <c r="A646" s="8" t="n">
        <v>115</v>
      </c>
      <c r="B646" s="8" t="s">
        <v>1541</v>
      </c>
    </row>
    <row r="647" customFormat="false" ht="15" hidden="false" customHeight="false" outlineLevel="0" collapsed="false">
      <c r="A647" s="8" t="n">
        <v>119</v>
      </c>
      <c r="B647" s="8" t="s">
        <v>1541</v>
      </c>
    </row>
    <row r="648" customFormat="false" ht="15" hidden="false" customHeight="false" outlineLevel="0" collapsed="false">
      <c r="A648" s="8" t="n">
        <v>121</v>
      </c>
      <c r="B648" s="8" t="s">
        <v>1541</v>
      </c>
    </row>
    <row r="649" customFormat="false" ht="15" hidden="false" customHeight="false" outlineLevel="0" collapsed="false">
      <c r="A649" s="8" t="n">
        <v>123</v>
      </c>
      <c r="B649" s="8" t="s">
        <v>1541</v>
      </c>
    </row>
    <row r="650" customFormat="false" ht="15" hidden="false" customHeight="false" outlineLevel="0" collapsed="false">
      <c r="A650" s="8" t="n">
        <v>127</v>
      </c>
      <c r="B650" s="8" t="s">
        <v>1541</v>
      </c>
    </row>
    <row r="651" customFormat="false" ht="15" hidden="false" customHeight="false" outlineLevel="0" collapsed="false">
      <c r="A651" s="8" t="n">
        <v>128</v>
      </c>
      <c r="B651" s="8" t="s">
        <v>1541</v>
      </c>
    </row>
    <row r="652" customFormat="false" ht="15" hidden="false" customHeight="false" outlineLevel="0" collapsed="false">
      <c r="A652" s="8" t="n">
        <v>130</v>
      </c>
      <c r="B652" s="8" t="s">
        <v>1541</v>
      </c>
    </row>
    <row r="653" customFormat="false" ht="15" hidden="false" customHeight="false" outlineLevel="0" collapsed="false">
      <c r="A653" s="8" t="n">
        <v>131</v>
      </c>
      <c r="B653" s="8" t="s">
        <v>1541</v>
      </c>
    </row>
    <row r="654" customFormat="false" ht="15" hidden="false" customHeight="false" outlineLevel="0" collapsed="false">
      <c r="A654" s="8" t="n">
        <v>132</v>
      </c>
      <c r="B654" s="8" t="s">
        <v>1541</v>
      </c>
    </row>
    <row r="655" customFormat="false" ht="15" hidden="false" customHeight="false" outlineLevel="0" collapsed="false">
      <c r="A655" s="8" t="n">
        <v>133</v>
      </c>
      <c r="B655" s="8" t="s">
        <v>1541</v>
      </c>
    </row>
    <row r="656" customFormat="false" ht="15" hidden="false" customHeight="false" outlineLevel="0" collapsed="false">
      <c r="A656" s="8" t="n">
        <v>137</v>
      </c>
      <c r="B656" s="8" t="s">
        <v>1541</v>
      </c>
    </row>
    <row r="657" customFormat="false" ht="15" hidden="false" customHeight="false" outlineLevel="0" collapsed="false">
      <c r="A657" s="8" t="n">
        <v>140</v>
      </c>
      <c r="B657" s="8" t="s">
        <v>1541</v>
      </c>
    </row>
    <row r="658" customFormat="false" ht="15" hidden="false" customHeight="false" outlineLevel="0" collapsed="false">
      <c r="A658" s="8" t="n">
        <v>141</v>
      </c>
      <c r="B658" s="8" t="s">
        <v>1541</v>
      </c>
    </row>
    <row r="659" customFormat="false" ht="15" hidden="false" customHeight="false" outlineLevel="0" collapsed="false">
      <c r="A659" s="8" t="n">
        <v>145</v>
      </c>
      <c r="B659" s="8" t="s">
        <v>1541</v>
      </c>
    </row>
    <row r="660" customFormat="false" ht="15" hidden="false" customHeight="false" outlineLevel="0" collapsed="false">
      <c r="A660" s="8" t="n">
        <v>146</v>
      </c>
      <c r="B660" s="8" t="s">
        <v>1541</v>
      </c>
    </row>
    <row r="661" customFormat="false" ht="15" hidden="false" customHeight="false" outlineLevel="0" collapsed="false">
      <c r="A661" s="8" t="n">
        <v>148</v>
      </c>
      <c r="B661" s="8" t="s">
        <v>1541</v>
      </c>
    </row>
    <row r="662" customFormat="false" ht="15" hidden="false" customHeight="false" outlineLevel="0" collapsed="false">
      <c r="A662" s="8" t="n">
        <v>149</v>
      </c>
      <c r="B662" s="8" t="s">
        <v>1541</v>
      </c>
    </row>
    <row r="663" customFormat="false" ht="15" hidden="false" customHeight="false" outlineLevel="0" collapsed="false">
      <c r="A663" s="8" t="n">
        <v>152</v>
      </c>
      <c r="B663" s="8" t="s">
        <v>1541</v>
      </c>
    </row>
    <row r="664" customFormat="false" ht="15" hidden="false" customHeight="false" outlineLevel="0" collapsed="false">
      <c r="A664" s="8" t="n">
        <v>155</v>
      </c>
      <c r="B664" s="8" t="s">
        <v>1541</v>
      </c>
    </row>
    <row r="665" customFormat="false" ht="15" hidden="false" customHeight="false" outlineLevel="0" collapsed="false">
      <c r="A665" s="8" t="n">
        <v>158</v>
      </c>
      <c r="B665" s="8" t="s">
        <v>1541</v>
      </c>
    </row>
    <row r="666" customFormat="false" ht="15" hidden="false" customHeight="false" outlineLevel="0" collapsed="false">
      <c r="A666" s="8" t="n">
        <v>164</v>
      </c>
      <c r="B666" s="8" t="s">
        <v>1541</v>
      </c>
    </row>
    <row r="667" customFormat="false" ht="15" hidden="false" customHeight="false" outlineLevel="0" collapsed="false">
      <c r="A667" s="8" t="n">
        <v>167</v>
      </c>
      <c r="B667" s="8" t="s">
        <v>1541</v>
      </c>
    </row>
    <row r="668" customFormat="false" ht="15" hidden="false" customHeight="false" outlineLevel="0" collapsed="false">
      <c r="A668" s="8" t="n">
        <v>182</v>
      </c>
      <c r="B668" s="8" t="s">
        <v>1541</v>
      </c>
    </row>
    <row r="669" customFormat="false" ht="15" hidden="false" customHeight="false" outlineLevel="0" collapsed="false">
      <c r="A669" s="8" t="n">
        <v>188</v>
      </c>
      <c r="B669" s="8" t="s">
        <v>1541</v>
      </c>
    </row>
    <row r="670" customFormat="false" ht="15" hidden="false" customHeight="false" outlineLevel="0" collapsed="false">
      <c r="A670" s="8" t="n">
        <v>193</v>
      </c>
      <c r="B670" s="8" t="s">
        <v>1541</v>
      </c>
    </row>
    <row r="671" customFormat="false" ht="15" hidden="false" customHeight="false" outlineLevel="0" collapsed="false">
      <c r="A671" s="8" t="n">
        <v>195</v>
      </c>
      <c r="B671" s="8" t="s">
        <v>1541</v>
      </c>
    </row>
    <row r="672" customFormat="false" ht="15" hidden="false" customHeight="false" outlineLevel="0" collapsed="false">
      <c r="A672" s="8" t="n">
        <v>196</v>
      </c>
      <c r="B672" s="8" t="s">
        <v>1541</v>
      </c>
    </row>
    <row r="673" customFormat="false" ht="15" hidden="false" customHeight="false" outlineLevel="0" collapsed="false">
      <c r="A673" s="8" t="n">
        <v>199</v>
      </c>
      <c r="B673" s="8" t="s">
        <v>1541</v>
      </c>
    </row>
    <row r="674" customFormat="false" ht="15" hidden="false" customHeight="false" outlineLevel="0" collapsed="false">
      <c r="A674" s="8" t="n">
        <v>200</v>
      </c>
      <c r="B674" s="8" t="s">
        <v>1541</v>
      </c>
    </row>
    <row r="675" customFormat="false" ht="15" hidden="false" customHeight="false" outlineLevel="0" collapsed="false">
      <c r="A675" s="8" t="n">
        <v>213</v>
      </c>
      <c r="B675" s="8" t="s">
        <v>1541</v>
      </c>
    </row>
    <row r="676" customFormat="false" ht="15" hidden="false" customHeight="false" outlineLevel="0" collapsed="false">
      <c r="A676" s="8" t="n">
        <v>225</v>
      </c>
      <c r="B676" s="8" t="s">
        <v>1541</v>
      </c>
    </row>
    <row r="677" customFormat="false" ht="15" hidden="false" customHeight="false" outlineLevel="0" collapsed="false">
      <c r="A677" s="8" t="n">
        <v>7</v>
      </c>
      <c r="B677" s="8" t="s">
        <v>1542</v>
      </c>
    </row>
    <row r="678" customFormat="false" ht="15" hidden="false" customHeight="false" outlineLevel="0" collapsed="false">
      <c r="A678" s="8" t="n">
        <v>17</v>
      </c>
      <c r="B678" s="8" t="s">
        <v>1542</v>
      </c>
    </row>
    <row r="679" customFormat="false" ht="15" hidden="false" customHeight="false" outlineLevel="0" collapsed="false">
      <c r="A679" s="8" t="n">
        <v>18</v>
      </c>
      <c r="B679" s="8" t="s">
        <v>1542</v>
      </c>
    </row>
    <row r="680" customFormat="false" ht="15" hidden="false" customHeight="false" outlineLevel="0" collapsed="false">
      <c r="A680" s="8" t="n">
        <v>20</v>
      </c>
      <c r="B680" s="8" t="s">
        <v>1542</v>
      </c>
    </row>
    <row r="681" customFormat="false" ht="15" hidden="false" customHeight="false" outlineLevel="0" collapsed="false">
      <c r="A681" s="8" t="n">
        <v>23</v>
      </c>
      <c r="B681" s="8" t="s">
        <v>1542</v>
      </c>
    </row>
    <row r="682" customFormat="false" ht="15" hidden="false" customHeight="false" outlineLevel="0" collapsed="false">
      <c r="A682" s="8" t="n">
        <v>25</v>
      </c>
      <c r="B682" s="8" t="s">
        <v>1542</v>
      </c>
    </row>
    <row r="683" customFormat="false" ht="15" hidden="false" customHeight="false" outlineLevel="0" collapsed="false">
      <c r="A683" s="8" t="n">
        <v>26</v>
      </c>
      <c r="B683" s="8" t="s">
        <v>1542</v>
      </c>
    </row>
    <row r="684" customFormat="false" ht="15" hidden="false" customHeight="false" outlineLevel="0" collapsed="false">
      <c r="A684" s="8" t="n">
        <v>27</v>
      </c>
      <c r="B684" s="8" t="s">
        <v>1542</v>
      </c>
    </row>
    <row r="685" customFormat="false" ht="15" hidden="false" customHeight="false" outlineLevel="0" collapsed="false">
      <c r="A685" s="8" t="n">
        <v>28</v>
      </c>
      <c r="B685" s="8" t="s">
        <v>1542</v>
      </c>
    </row>
    <row r="686" customFormat="false" ht="15" hidden="false" customHeight="false" outlineLevel="0" collapsed="false">
      <c r="A686" s="8" t="n">
        <v>29</v>
      </c>
      <c r="B686" s="8" t="s">
        <v>1542</v>
      </c>
    </row>
    <row r="687" customFormat="false" ht="15" hidden="false" customHeight="false" outlineLevel="0" collapsed="false">
      <c r="A687" s="8" t="n">
        <v>31</v>
      </c>
      <c r="B687" s="8" t="s">
        <v>1542</v>
      </c>
    </row>
    <row r="688" customFormat="false" ht="15" hidden="false" customHeight="false" outlineLevel="0" collapsed="false">
      <c r="A688" s="8" t="n">
        <v>34</v>
      </c>
      <c r="B688" s="8" t="s">
        <v>1542</v>
      </c>
    </row>
    <row r="689" customFormat="false" ht="15" hidden="false" customHeight="false" outlineLevel="0" collapsed="false">
      <c r="A689" s="8" t="n">
        <v>40</v>
      </c>
      <c r="B689" s="8" t="s">
        <v>1542</v>
      </c>
    </row>
    <row r="690" customFormat="false" ht="15" hidden="false" customHeight="false" outlineLevel="0" collapsed="false">
      <c r="A690" s="8" t="n">
        <v>46</v>
      </c>
      <c r="B690" s="8" t="s">
        <v>1542</v>
      </c>
    </row>
    <row r="691" customFormat="false" ht="15" hidden="false" customHeight="false" outlineLevel="0" collapsed="false">
      <c r="A691" s="8" t="n">
        <v>54</v>
      </c>
      <c r="B691" s="8" t="s">
        <v>1542</v>
      </c>
    </row>
    <row r="692" customFormat="false" ht="15" hidden="false" customHeight="false" outlineLevel="0" collapsed="false">
      <c r="A692" s="8" t="n">
        <v>60</v>
      </c>
      <c r="B692" s="8" t="s">
        <v>1542</v>
      </c>
    </row>
    <row r="693" customFormat="false" ht="15" hidden="false" customHeight="false" outlineLevel="0" collapsed="false">
      <c r="A693" s="8" t="n">
        <v>69</v>
      </c>
      <c r="B693" s="8" t="s">
        <v>1542</v>
      </c>
    </row>
    <row r="694" customFormat="false" ht="15" hidden="false" customHeight="false" outlineLevel="0" collapsed="false">
      <c r="A694" s="8" t="n">
        <v>71</v>
      </c>
      <c r="B694" s="8" t="s">
        <v>1542</v>
      </c>
    </row>
    <row r="695" customFormat="false" ht="15" hidden="false" customHeight="false" outlineLevel="0" collapsed="false">
      <c r="A695" s="8" t="n">
        <v>77</v>
      </c>
      <c r="B695" s="8" t="s">
        <v>1542</v>
      </c>
    </row>
    <row r="696" customFormat="false" ht="15" hidden="false" customHeight="false" outlineLevel="0" collapsed="false">
      <c r="A696" s="8" t="n">
        <v>102</v>
      </c>
      <c r="B696" s="8" t="s">
        <v>1542</v>
      </c>
    </row>
    <row r="697" customFormat="false" ht="15" hidden="false" customHeight="false" outlineLevel="0" collapsed="false">
      <c r="A697" s="8" t="n">
        <v>105</v>
      </c>
      <c r="B697" s="8" t="s">
        <v>1542</v>
      </c>
    </row>
    <row r="698" customFormat="false" ht="15" hidden="false" customHeight="false" outlineLevel="0" collapsed="false">
      <c r="A698" s="8" t="n">
        <v>119</v>
      </c>
      <c r="B698" s="8" t="s">
        <v>1542</v>
      </c>
    </row>
    <row r="699" customFormat="false" ht="15" hidden="false" customHeight="false" outlineLevel="0" collapsed="false">
      <c r="A699" s="8" t="n">
        <v>128</v>
      </c>
      <c r="B699" s="8" t="s">
        <v>1542</v>
      </c>
    </row>
    <row r="700" customFormat="false" ht="15" hidden="false" customHeight="false" outlineLevel="0" collapsed="false">
      <c r="A700" s="8" t="n">
        <v>130</v>
      </c>
      <c r="B700" s="8" t="s">
        <v>1542</v>
      </c>
    </row>
    <row r="701" customFormat="false" ht="15" hidden="false" customHeight="false" outlineLevel="0" collapsed="false">
      <c r="A701" s="8" t="n">
        <v>132</v>
      </c>
      <c r="B701" s="8" t="s">
        <v>1542</v>
      </c>
    </row>
    <row r="702" customFormat="false" ht="15" hidden="false" customHeight="false" outlineLevel="0" collapsed="false">
      <c r="A702" s="8" t="n">
        <v>141</v>
      </c>
      <c r="B702" s="8" t="s">
        <v>1542</v>
      </c>
    </row>
    <row r="703" customFormat="false" ht="15" hidden="false" customHeight="false" outlineLevel="0" collapsed="false">
      <c r="A703" s="8" t="n">
        <v>167</v>
      </c>
      <c r="B703" s="8" t="s">
        <v>1542</v>
      </c>
    </row>
    <row r="704" customFormat="false" ht="15" hidden="false" customHeight="false" outlineLevel="0" collapsed="false">
      <c r="A704" s="8" t="n">
        <v>213</v>
      </c>
      <c r="B704" s="8" t="s">
        <v>1542</v>
      </c>
    </row>
    <row r="705" customFormat="false" ht="15" hidden="false" customHeight="false" outlineLevel="0" collapsed="false">
      <c r="A705" s="8" t="n">
        <v>4</v>
      </c>
      <c r="B705" s="8" t="s">
        <v>1543</v>
      </c>
    </row>
    <row r="706" customFormat="false" ht="15" hidden="false" customHeight="false" outlineLevel="0" collapsed="false">
      <c r="A706" s="8" t="n">
        <v>66</v>
      </c>
      <c r="B706" s="8" t="s">
        <v>1543</v>
      </c>
    </row>
    <row r="707" customFormat="false" ht="15" hidden="false" customHeight="false" outlineLevel="0" collapsed="false">
      <c r="A707" s="8" t="n">
        <v>78</v>
      </c>
      <c r="B707" s="8" t="s">
        <v>1543</v>
      </c>
    </row>
    <row r="708" customFormat="false" ht="15" hidden="false" customHeight="false" outlineLevel="0" collapsed="false">
      <c r="A708" s="8" t="n">
        <v>92</v>
      </c>
      <c r="B708" s="8" t="s">
        <v>1543</v>
      </c>
    </row>
    <row r="709" customFormat="false" ht="15" hidden="false" customHeight="false" outlineLevel="0" collapsed="false">
      <c r="A709" s="8" t="n">
        <v>94</v>
      </c>
      <c r="B709" s="8" t="s">
        <v>1543</v>
      </c>
    </row>
    <row r="710" customFormat="false" ht="15" hidden="false" customHeight="false" outlineLevel="0" collapsed="false">
      <c r="A710" s="8" t="n">
        <v>113</v>
      </c>
      <c r="B710" s="8" t="s">
        <v>1543</v>
      </c>
    </row>
    <row r="711" customFormat="false" ht="15" hidden="false" customHeight="false" outlineLevel="0" collapsed="false">
      <c r="A711" s="8" t="n">
        <v>125</v>
      </c>
      <c r="B711" s="8" t="s">
        <v>1543</v>
      </c>
    </row>
    <row r="712" customFormat="false" ht="15" hidden="false" customHeight="false" outlineLevel="0" collapsed="false">
      <c r="A712" s="8" t="n">
        <v>138</v>
      </c>
      <c r="B712" s="8" t="s">
        <v>1543</v>
      </c>
    </row>
    <row r="713" customFormat="false" ht="15" hidden="false" customHeight="false" outlineLevel="0" collapsed="false">
      <c r="A713" s="8" t="n">
        <v>3</v>
      </c>
      <c r="B713" s="8" t="s">
        <v>1544</v>
      </c>
    </row>
    <row r="714" customFormat="false" ht="15" hidden="false" customHeight="false" outlineLevel="0" collapsed="false">
      <c r="A714" s="8" t="n">
        <v>7</v>
      </c>
      <c r="B714" s="8" t="s">
        <v>1544</v>
      </c>
    </row>
    <row r="715" customFormat="false" ht="15" hidden="false" customHeight="false" outlineLevel="0" collapsed="false">
      <c r="A715" s="8" t="n">
        <v>15</v>
      </c>
      <c r="B715" s="8" t="s">
        <v>1544</v>
      </c>
    </row>
    <row r="716" customFormat="false" ht="15" hidden="false" customHeight="false" outlineLevel="0" collapsed="false">
      <c r="A716" s="8" t="n">
        <v>17</v>
      </c>
      <c r="B716" s="8" t="s">
        <v>1544</v>
      </c>
    </row>
    <row r="717" customFormat="false" ht="15" hidden="false" customHeight="false" outlineLevel="0" collapsed="false">
      <c r="A717" s="8" t="n">
        <v>23</v>
      </c>
      <c r="B717" s="8" t="s">
        <v>1544</v>
      </c>
    </row>
    <row r="718" customFormat="false" ht="15" hidden="false" customHeight="false" outlineLevel="0" collapsed="false">
      <c r="A718" s="8" t="n">
        <v>25</v>
      </c>
      <c r="B718" s="8" t="s">
        <v>1544</v>
      </c>
    </row>
    <row r="719" customFormat="false" ht="15" hidden="false" customHeight="false" outlineLevel="0" collapsed="false">
      <c r="A719" s="8" t="n">
        <v>26</v>
      </c>
      <c r="B719" s="8" t="s">
        <v>1544</v>
      </c>
    </row>
    <row r="720" customFormat="false" ht="15" hidden="false" customHeight="false" outlineLevel="0" collapsed="false">
      <c r="A720" s="8" t="n">
        <v>28</v>
      </c>
      <c r="B720" s="8" t="s">
        <v>1544</v>
      </c>
    </row>
    <row r="721" customFormat="false" ht="15" hidden="false" customHeight="false" outlineLevel="0" collapsed="false">
      <c r="A721" s="8" t="n">
        <v>40</v>
      </c>
      <c r="B721" s="8" t="s">
        <v>1544</v>
      </c>
    </row>
    <row r="722" customFormat="false" ht="15" hidden="false" customHeight="false" outlineLevel="0" collapsed="false">
      <c r="A722" s="8" t="n">
        <v>50</v>
      </c>
      <c r="B722" s="8" t="s">
        <v>1544</v>
      </c>
    </row>
    <row r="723" customFormat="false" ht="15" hidden="false" customHeight="false" outlineLevel="0" collapsed="false">
      <c r="A723" s="8" t="n">
        <v>60</v>
      </c>
      <c r="B723" s="8" t="s">
        <v>1544</v>
      </c>
    </row>
    <row r="724" customFormat="false" ht="15" hidden="false" customHeight="false" outlineLevel="0" collapsed="false">
      <c r="A724" s="8" t="n">
        <v>63</v>
      </c>
      <c r="B724" s="8" t="s">
        <v>1544</v>
      </c>
    </row>
    <row r="725" customFormat="false" ht="15" hidden="false" customHeight="false" outlineLevel="0" collapsed="false">
      <c r="A725" s="8" t="n">
        <v>71</v>
      </c>
      <c r="B725" s="8" t="s">
        <v>1544</v>
      </c>
    </row>
    <row r="726" customFormat="false" ht="15" hidden="false" customHeight="false" outlineLevel="0" collapsed="false">
      <c r="A726" s="8" t="n">
        <v>85</v>
      </c>
      <c r="B726" s="8" t="s">
        <v>1544</v>
      </c>
    </row>
    <row r="727" customFormat="false" ht="15" hidden="false" customHeight="false" outlineLevel="0" collapsed="false">
      <c r="A727" s="8" t="n">
        <v>88</v>
      </c>
      <c r="B727" s="8" t="s">
        <v>1544</v>
      </c>
    </row>
    <row r="728" customFormat="false" ht="15" hidden="false" customHeight="false" outlineLevel="0" collapsed="false">
      <c r="A728" s="8" t="n">
        <v>102</v>
      </c>
      <c r="B728" s="8" t="s">
        <v>1544</v>
      </c>
    </row>
    <row r="729" customFormat="false" ht="15" hidden="false" customHeight="false" outlineLevel="0" collapsed="false">
      <c r="A729" s="8" t="n">
        <v>128</v>
      </c>
      <c r="B729" s="8" t="s">
        <v>1544</v>
      </c>
    </row>
    <row r="730" customFormat="false" ht="15" hidden="false" customHeight="false" outlineLevel="0" collapsed="false">
      <c r="A730" s="8" t="n">
        <v>132</v>
      </c>
      <c r="B730" s="8" t="s">
        <v>1544</v>
      </c>
    </row>
    <row r="731" customFormat="false" ht="15" hidden="false" customHeight="false" outlineLevel="0" collapsed="false">
      <c r="A731" s="8" t="n">
        <v>146</v>
      </c>
      <c r="B731" s="8" t="s">
        <v>1544</v>
      </c>
    </row>
    <row r="732" customFormat="false" ht="15" hidden="false" customHeight="false" outlineLevel="0" collapsed="false">
      <c r="A732" s="8" t="n">
        <v>155</v>
      </c>
      <c r="B732" s="8" t="s">
        <v>1544</v>
      </c>
    </row>
    <row r="733" customFormat="false" ht="15" hidden="false" customHeight="false" outlineLevel="0" collapsed="false">
      <c r="A733" s="8" t="n">
        <v>167</v>
      </c>
      <c r="B733" s="8" t="s">
        <v>1544</v>
      </c>
    </row>
    <row r="734" customFormat="false" ht="15" hidden="false" customHeight="false" outlineLevel="0" collapsed="false">
      <c r="A734" s="8" t="n">
        <v>222</v>
      </c>
      <c r="B734" s="8" t="s">
        <v>1544</v>
      </c>
    </row>
    <row r="735" customFormat="false" ht="15" hidden="false" customHeight="false" outlineLevel="0" collapsed="false">
      <c r="A735" s="8" t="n">
        <v>45</v>
      </c>
      <c r="B735" s="8" t="s">
        <v>1545</v>
      </c>
    </row>
    <row r="736" customFormat="false" ht="15" hidden="false" customHeight="false" outlineLevel="0" collapsed="false">
      <c r="A736" s="8" t="n">
        <v>64</v>
      </c>
      <c r="B736" s="8" t="s">
        <v>1545</v>
      </c>
    </row>
    <row r="737" customFormat="false" ht="15" hidden="false" customHeight="false" outlineLevel="0" collapsed="false">
      <c r="A737" s="8" t="n">
        <v>86</v>
      </c>
      <c r="B737" s="8" t="s">
        <v>1545</v>
      </c>
    </row>
    <row r="738" customFormat="false" ht="15" hidden="false" customHeight="false" outlineLevel="0" collapsed="false">
      <c r="A738" s="8" t="n">
        <v>95</v>
      </c>
      <c r="B738" s="8" t="s">
        <v>1545</v>
      </c>
    </row>
    <row r="739" customFormat="false" ht="15" hidden="false" customHeight="false" outlineLevel="0" collapsed="false">
      <c r="A739" s="8" t="n">
        <v>96</v>
      </c>
      <c r="B739" s="8" t="s">
        <v>1545</v>
      </c>
    </row>
    <row r="740" customFormat="false" ht="15" hidden="false" customHeight="false" outlineLevel="0" collapsed="false">
      <c r="A740" s="8" t="n">
        <v>107</v>
      </c>
      <c r="B740" s="8" t="s">
        <v>1545</v>
      </c>
    </row>
    <row r="741" customFormat="false" ht="15" hidden="false" customHeight="false" outlineLevel="0" collapsed="false">
      <c r="A741" s="8" t="n">
        <v>117</v>
      </c>
      <c r="B741" s="8" t="s">
        <v>1545</v>
      </c>
    </row>
    <row r="742" customFormat="false" ht="15" hidden="false" customHeight="false" outlineLevel="0" collapsed="false">
      <c r="A742" s="8" t="n">
        <v>152</v>
      </c>
      <c r="B742" s="8" t="s">
        <v>1545</v>
      </c>
    </row>
    <row r="743" customFormat="false" ht="15" hidden="false" customHeight="false" outlineLevel="0" collapsed="false">
      <c r="A743" s="8" t="n">
        <v>181</v>
      </c>
      <c r="B743" s="8" t="s">
        <v>1545</v>
      </c>
    </row>
    <row r="744" customFormat="false" ht="15" hidden="false" customHeight="false" outlineLevel="0" collapsed="false">
      <c r="A744" s="8" t="n">
        <v>182</v>
      </c>
      <c r="B744" s="8" t="s">
        <v>1545</v>
      </c>
    </row>
    <row r="745" customFormat="false" ht="15" hidden="false" customHeight="false" outlineLevel="0" collapsed="false">
      <c r="A745" s="8" t="n">
        <v>189</v>
      </c>
      <c r="B745" s="8" t="s">
        <v>1545</v>
      </c>
    </row>
    <row r="746" customFormat="false" ht="15" hidden="false" customHeight="false" outlineLevel="0" collapsed="false">
      <c r="A746" s="8" t="n">
        <v>216</v>
      </c>
      <c r="B746" s="8" t="s">
        <v>1545</v>
      </c>
    </row>
    <row r="747" customFormat="false" ht="15" hidden="false" customHeight="false" outlineLevel="0" collapsed="false">
      <c r="A747" s="8" t="n">
        <v>220</v>
      </c>
      <c r="B747" s="8" t="s">
        <v>1545</v>
      </c>
    </row>
    <row r="748" customFormat="false" ht="15" hidden="false" customHeight="false" outlineLevel="0" collapsed="false">
      <c r="A748" s="8" t="n">
        <v>8</v>
      </c>
      <c r="B748" s="8" t="s">
        <v>1546</v>
      </c>
    </row>
    <row r="749" customFormat="false" ht="15" hidden="false" customHeight="false" outlineLevel="0" collapsed="false">
      <c r="A749" s="8" t="n">
        <v>17</v>
      </c>
      <c r="B749" s="8" t="s">
        <v>1546</v>
      </c>
    </row>
    <row r="750" customFormat="false" ht="15" hidden="false" customHeight="false" outlineLevel="0" collapsed="false">
      <c r="A750" s="8" t="n">
        <v>26</v>
      </c>
      <c r="B750" s="8" t="s">
        <v>1546</v>
      </c>
    </row>
    <row r="751" customFormat="false" ht="15" hidden="false" customHeight="false" outlineLevel="0" collapsed="false">
      <c r="A751" s="8" t="n">
        <v>31</v>
      </c>
      <c r="B751" s="8" t="s">
        <v>1546</v>
      </c>
    </row>
    <row r="752" customFormat="false" ht="15" hidden="false" customHeight="false" outlineLevel="0" collapsed="false">
      <c r="A752" s="8" t="n">
        <v>46</v>
      </c>
      <c r="B752" s="8" t="s">
        <v>1546</v>
      </c>
    </row>
    <row r="753" customFormat="false" ht="15" hidden="false" customHeight="false" outlineLevel="0" collapsed="false">
      <c r="A753" s="8" t="n">
        <v>63</v>
      </c>
      <c r="B753" s="8" t="s">
        <v>1546</v>
      </c>
    </row>
    <row r="754" customFormat="false" ht="15" hidden="false" customHeight="false" outlineLevel="0" collapsed="false">
      <c r="A754" s="8" t="n">
        <v>71</v>
      </c>
      <c r="B754" s="8" t="s">
        <v>1546</v>
      </c>
    </row>
    <row r="755" customFormat="false" ht="15" hidden="false" customHeight="false" outlineLevel="0" collapsed="false">
      <c r="A755" s="8" t="n">
        <v>87</v>
      </c>
      <c r="B755" s="8" t="s">
        <v>1546</v>
      </c>
    </row>
    <row r="756" customFormat="false" ht="15" hidden="false" customHeight="false" outlineLevel="0" collapsed="false">
      <c r="A756" s="8" t="n">
        <v>88</v>
      </c>
      <c r="B756" s="8" t="s">
        <v>1546</v>
      </c>
    </row>
    <row r="757" customFormat="false" ht="15" hidden="false" customHeight="false" outlineLevel="0" collapsed="false">
      <c r="A757" s="8" t="n">
        <v>98</v>
      </c>
      <c r="B757" s="8" t="s">
        <v>1546</v>
      </c>
    </row>
    <row r="758" customFormat="false" ht="15" hidden="false" customHeight="false" outlineLevel="0" collapsed="false">
      <c r="A758" s="8" t="n">
        <v>102</v>
      </c>
      <c r="B758" s="8" t="s">
        <v>1546</v>
      </c>
    </row>
    <row r="759" customFormat="false" ht="15" hidden="false" customHeight="false" outlineLevel="0" collapsed="false">
      <c r="A759" s="8" t="n">
        <v>107</v>
      </c>
      <c r="B759" s="8" t="s">
        <v>1546</v>
      </c>
    </row>
    <row r="760" customFormat="false" ht="15" hidden="false" customHeight="false" outlineLevel="0" collapsed="false">
      <c r="A760" s="8" t="n">
        <v>114</v>
      </c>
      <c r="B760" s="8" t="s">
        <v>1546</v>
      </c>
    </row>
    <row r="761" customFormat="false" ht="15" hidden="false" customHeight="false" outlineLevel="0" collapsed="false">
      <c r="A761" s="8" t="n">
        <v>119</v>
      </c>
      <c r="B761" s="8" t="s">
        <v>1546</v>
      </c>
    </row>
    <row r="762" customFormat="false" ht="15" hidden="false" customHeight="false" outlineLevel="0" collapsed="false">
      <c r="A762" s="8" t="n">
        <v>127</v>
      </c>
      <c r="B762" s="8" t="s">
        <v>1546</v>
      </c>
    </row>
    <row r="763" customFormat="false" ht="15" hidden="false" customHeight="false" outlineLevel="0" collapsed="false">
      <c r="A763" s="8" t="n">
        <v>141</v>
      </c>
      <c r="B763" s="8" t="s">
        <v>1546</v>
      </c>
    </row>
    <row r="764" customFormat="false" ht="15" hidden="false" customHeight="false" outlineLevel="0" collapsed="false">
      <c r="A764" s="8" t="n">
        <v>63</v>
      </c>
      <c r="B764" s="8" t="s">
        <v>1547</v>
      </c>
    </row>
    <row r="765" customFormat="false" ht="15" hidden="false" customHeight="false" outlineLevel="0" collapsed="false">
      <c r="A765" s="8" t="n">
        <v>65</v>
      </c>
      <c r="B765" s="8" t="s">
        <v>1547</v>
      </c>
    </row>
    <row r="766" customFormat="false" ht="15" hidden="false" customHeight="false" outlineLevel="0" collapsed="false">
      <c r="A766" s="8" t="n">
        <v>100</v>
      </c>
      <c r="B766" s="8" t="s">
        <v>1547</v>
      </c>
    </row>
    <row r="767" customFormat="false" ht="15" hidden="false" customHeight="false" outlineLevel="0" collapsed="false">
      <c r="A767" s="8" t="n">
        <v>119</v>
      </c>
      <c r="B767" s="8" t="s">
        <v>1547</v>
      </c>
    </row>
    <row r="768" customFormat="false" ht="15" hidden="false" customHeight="false" outlineLevel="0" collapsed="false">
      <c r="A768" s="8" t="n">
        <v>151</v>
      </c>
      <c r="B768" s="8" t="s">
        <v>1547</v>
      </c>
    </row>
    <row r="769" customFormat="false" ht="15" hidden="false" customHeight="false" outlineLevel="0" collapsed="false">
      <c r="A769" s="8" t="n">
        <v>153</v>
      </c>
      <c r="B769" s="8" t="s">
        <v>1547</v>
      </c>
    </row>
    <row r="770" customFormat="false" ht="15" hidden="false" customHeight="false" outlineLevel="0" collapsed="false">
      <c r="A770" s="8" t="n">
        <v>155</v>
      </c>
      <c r="B770" s="8" t="s">
        <v>1547</v>
      </c>
    </row>
    <row r="771" customFormat="false" ht="15" hidden="false" customHeight="false" outlineLevel="0" collapsed="false">
      <c r="A771" s="8" t="n">
        <v>95</v>
      </c>
      <c r="B771" s="8" t="s">
        <v>1548</v>
      </c>
    </row>
    <row r="772" customFormat="false" ht="15" hidden="false" customHeight="false" outlineLevel="0" collapsed="false">
      <c r="A772" s="8" t="n">
        <v>105</v>
      </c>
      <c r="B772" s="8" t="s">
        <v>1548</v>
      </c>
    </row>
    <row r="773" customFormat="false" ht="15" hidden="false" customHeight="false" outlineLevel="0" collapsed="false">
      <c r="A773" s="8" t="n">
        <v>107</v>
      </c>
      <c r="B773" s="8" t="s">
        <v>1548</v>
      </c>
    </row>
    <row r="774" customFormat="false" ht="15" hidden="false" customHeight="false" outlineLevel="0" collapsed="false">
      <c r="A774" s="8" t="n">
        <v>122</v>
      </c>
      <c r="B774" s="8" t="s">
        <v>1548</v>
      </c>
    </row>
    <row r="775" customFormat="false" ht="15" hidden="false" customHeight="false" outlineLevel="0" collapsed="false">
      <c r="A775" s="8" t="n">
        <v>143</v>
      </c>
      <c r="B775" s="8" t="s">
        <v>1548</v>
      </c>
    </row>
    <row r="776" customFormat="false" ht="15" hidden="false" customHeight="false" outlineLevel="0" collapsed="false">
      <c r="A776" s="8" t="n">
        <v>153</v>
      </c>
      <c r="B776" s="8" t="s">
        <v>1548</v>
      </c>
    </row>
    <row r="777" customFormat="false" ht="15" hidden="false" customHeight="false" outlineLevel="0" collapsed="false">
      <c r="A777" s="8" t="n">
        <v>200</v>
      </c>
      <c r="B777" s="8" t="s">
        <v>1548</v>
      </c>
    </row>
    <row r="778" customFormat="false" ht="15" hidden="false" customHeight="false" outlineLevel="0" collapsed="false">
      <c r="A778" s="8" t="n">
        <v>218</v>
      </c>
      <c r="B778" s="8" t="s">
        <v>1548</v>
      </c>
    </row>
    <row r="779" customFormat="false" ht="15" hidden="false" customHeight="false" outlineLevel="0" collapsed="false">
      <c r="A779" s="8" t="n">
        <v>2</v>
      </c>
      <c r="B779" s="8" t="s">
        <v>1549</v>
      </c>
    </row>
    <row r="780" customFormat="false" ht="15" hidden="false" customHeight="false" outlineLevel="0" collapsed="false">
      <c r="A780" s="8" t="n">
        <v>4</v>
      </c>
      <c r="B780" s="8" t="s">
        <v>1549</v>
      </c>
    </row>
    <row r="781" customFormat="false" ht="15" hidden="false" customHeight="false" outlineLevel="0" collapsed="false">
      <c r="A781" s="8" t="n">
        <v>16</v>
      </c>
      <c r="B781" s="8" t="s">
        <v>1549</v>
      </c>
    </row>
    <row r="782" customFormat="false" ht="15" hidden="false" customHeight="false" outlineLevel="0" collapsed="false">
      <c r="A782" s="8" t="n">
        <v>17</v>
      </c>
      <c r="B782" s="8" t="s">
        <v>1549</v>
      </c>
    </row>
    <row r="783" customFormat="false" ht="15" hidden="false" customHeight="false" outlineLevel="0" collapsed="false">
      <c r="A783" s="8" t="n">
        <v>30</v>
      </c>
      <c r="B783" s="8" t="s">
        <v>1549</v>
      </c>
    </row>
    <row r="784" customFormat="false" ht="15" hidden="false" customHeight="false" outlineLevel="0" collapsed="false">
      <c r="A784" s="8" t="n">
        <v>32</v>
      </c>
      <c r="B784" s="8" t="s">
        <v>1549</v>
      </c>
    </row>
    <row r="785" customFormat="false" ht="15" hidden="false" customHeight="false" outlineLevel="0" collapsed="false">
      <c r="A785" s="8" t="n">
        <v>38</v>
      </c>
      <c r="B785" s="8" t="s">
        <v>1549</v>
      </c>
    </row>
    <row r="786" customFormat="false" ht="15" hidden="false" customHeight="false" outlineLevel="0" collapsed="false">
      <c r="A786" s="8" t="n">
        <v>39</v>
      </c>
      <c r="B786" s="8" t="s">
        <v>1549</v>
      </c>
    </row>
    <row r="787" customFormat="false" ht="15" hidden="false" customHeight="false" outlineLevel="0" collapsed="false">
      <c r="A787" s="8" t="n">
        <v>40</v>
      </c>
      <c r="B787" s="8" t="s">
        <v>1549</v>
      </c>
    </row>
    <row r="788" customFormat="false" ht="15" hidden="false" customHeight="false" outlineLevel="0" collapsed="false">
      <c r="A788" s="8" t="n">
        <v>45</v>
      </c>
      <c r="B788" s="8" t="s">
        <v>1549</v>
      </c>
    </row>
    <row r="789" customFormat="false" ht="15" hidden="false" customHeight="false" outlineLevel="0" collapsed="false">
      <c r="A789" s="8" t="n">
        <v>46</v>
      </c>
      <c r="B789" s="8" t="s">
        <v>1549</v>
      </c>
    </row>
    <row r="790" customFormat="false" ht="15" hidden="false" customHeight="false" outlineLevel="0" collapsed="false">
      <c r="A790" s="8" t="n">
        <v>57</v>
      </c>
      <c r="B790" s="8" t="s">
        <v>1549</v>
      </c>
    </row>
    <row r="791" customFormat="false" ht="15" hidden="false" customHeight="false" outlineLevel="0" collapsed="false">
      <c r="A791" s="8" t="n">
        <v>74</v>
      </c>
      <c r="B791" s="8" t="s">
        <v>1549</v>
      </c>
    </row>
    <row r="792" customFormat="false" ht="15" hidden="false" customHeight="false" outlineLevel="0" collapsed="false">
      <c r="A792" s="8" t="n">
        <v>79</v>
      </c>
      <c r="B792" s="8" t="s">
        <v>1549</v>
      </c>
    </row>
    <row r="793" customFormat="false" ht="15" hidden="false" customHeight="false" outlineLevel="0" collapsed="false">
      <c r="A793" s="8" t="n">
        <v>155</v>
      </c>
      <c r="B793" s="8" t="s">
        <v>1549</v>
      </c>
    </row>
    <row r="794" customFormat="false" ht="15" hidden="false" customHeight="false" outlineLevel="0" collapsed="false">
      <c r="A794" s="8" t="n">
        <v>157</v>
      </c>
      <c r="B794" s="8" t="s">
        <v>1549</v>
      </c>
    </row>
    <row r="795" customFormat="false" ht="15" hidden="false" customHeight="false" outlineLevel="0" collapsed="false">
      <c r="A795" s="8" t="n">
        <v>161</v>
      </c>
      <c r="B795" s="8" t="s">
        <v>1549</v>
      </c>
    </row>
    <row r="796" customFormat="false" ht="15" hidden="false" customHeight="false" outlineLevel="0" collapsed="false">
      <c r="A796" s="8" t="n">
        <v>166</v>
      </c>
      <c r="B796" s="8" t="s">
        <v>1549</v>
      </c>
    </row>
    <row r="797" customFormat="false" ht="15" hidden="false" customHeight="false" outlineLevel="0" collapsed="false">
      <c r="A797" s="8" t="n">
        <v>175</v>
      </c>
      <c r="B797" s="8" t="s">
        <v>1549</v>
      </c>
    </row>
    <row r="798" customFormat="false" ht="15" hidden="false" customHeight="false" outlineLevel="0" collapsed="false">
      <c r="A798" s="8" t="n">
        <v>187</v>
      </c>
      <c r="B798" s="8" t="s">
        <v>1549</v>
      </c>
    </row>
    <row r="799" customFormat="false" ht="15" hidden="false" customHeight="false" outlineLevel="0" collapsed="false">
      <c r="A799" s="8" t="n">
        <v>190</v>
      </c>
      <c r="B799" s="8" t="s">
        <v>1549</v>
      </c>
    </row>
    <row r="800" customFormat="false" ht="15" hidden="false" customHeight="false" outlineLevel="0" collapsed="false">
      <c r="A800" s="8" t="n">
        <v>193</v>
      </c>
      <c r="B800" s="8" t="s">
        <v>1549</v>
      </c>
    </row>
    <row r="801" customFormat="false" ht="15" hidden="false" customHeight="false" outlineLevel="0" collapsed="false">
      <c r="A801" s="8" t="n">
        <v>218</v>
      </c>
      <c r="B801" s="8" t="s">
        <v>1549</v>
      </c>
    </row>
    <row r="802" customFormat="false" ht="15" hidden="false" customHeight="false" outlineLevel="0" collapsed="false">
      <c r="A802" s="8" t="n">
        <v>50</v>
      </c>
      <c r="B802" s="8" t="s">
        <v>1550</v>
      </c>
    </row>
    <row r="803" customFormat="false" ht="15" hidden="false" customHeight="false" outlineLevel="0" collapsed="false">
      <c r="A803" s="8" t="n">
        <v>52</v>
      </c>
      <c r="B803" s="8" t="s">
        <v>1550</v>
      </c>
    </row>
    <row r="804" customFormat="false" ht="15" hidden="false" customHeight="false" outlineLevel="0" collapsed="false">
      <c r="A804" s="8" t="n">
        <v>77</v>
      </c>
      <c r="B804" s="8" t="s">
        <v>1550</v>
      </c>
    </row>
    <row r="805" customFormat="false" ht="15" hidden="false" customHeight="false" outlineLevel="0" collapsed="false">
      <c r="A805" s="8" t="n">
        <v>131</v>
      </c>
      <c r="B805" s="8" t="s">
        <v>1550</v>
      </c>
    </row>
    <row r="806" customFormat="false" ht="15" hidden="false" customHeight="false" outlineLevel="0" collapsed="false">
      <c r="A806" s="8" t="n">
        <v>199</v>
      </c>
      <c r="B806" s="8" t="s">
        <v>1551</v>
      </c>
    </row>
    <row r="807" customFormat="false" ht="15" hidden="false" customHeight="false" outlineLevel="0" collapsed="false">
      <c r="A807" s="8" t="n">
        <v>4</v>
      </c>
      <c r="B807" s="8" t="s">
        <v>1552</v>
      </c>
    </row>
    <row r="808" customFormat="false" ht="15" hidden="false" customHeight="false" outlineLevel="0" collapsed="false">
      <c r="A808" s="8" t="n">
        <v>10</v>
      </c>
      <c r="B808" s="8" t="s">
        <v>1552</v>
      </c>
    </row>
    <row r="809" customFormat="false" ht="15" hidden="false" customHeight="false" outlineLevel="0" collapsed="false">
      <c r="A809" s="8" t="n">
        <v>31</v>
      </c>
      <c r="B809" s="8" t="s">
        <v>1552</v>
      </c>
    </row>
    <row r="810" customFormat="false" ht="15" hidden="false" customHeight="false" outlineLevel="0" collapsed="false">
      <c r="A810" s="8" t="n">
        <v>34</v>
      </c>
      <c r="B810" s="8" t="s">
        <v>1552</v>
      </c>
    </row>
    <row r="811" customFormat="false" ht="15" hidden="false" customHeight="false" outlineLevel="0" collapsed="false">
      <c r="A811" s="8" t="n">
        <v>37</v>
      </c>
      <c r="B811" s="8" t="s">
        <v>1552</v>
      </c>
    </row>
    <row r="812" customFormat="false" ht="15" hidden="false" customHeight="false" outlineLevel="0" collapsed="false">
      <c r="A812" s="8" t="n">
        <v>41</v>
      </c>
      <c r="B812" s="8" t="s">
        <v>1552</v>
      </c>
    </row>
    <row r="813" customFormat="false" ht="15" hidden="false" customHeight="false" outlineLevel="0" collapsed="false">
      <c r="A813" s="8" t="n">
        <v>42</v>
      </c>
      <c r="B813" s="8" t="s">
        <v>1552</v>
      </c>
    </row>
    <row r="814" customFormat="false" ht="15" hidden="false" customHeight="false" outlineLevel="0" collapsed="false">
      <c r="A814" s="8" t="n">
        <v>43</v>
      </c>
      <c r="B814" s="8" t="s">
        <v>1552</v>
      </c>
    </row>
    <row r="815" customFormat="false" ht="15" hidden="false" customHeight="false" outlineLevel="0" collapsed="false">
      <c r="A815" s="8" t="n">
        <v>53</v>
      </c>
      <c r="B815" s="8" t="s">
        <v>1552</v>
      </c>
    </row>
    <row r="816" customFormat="false" ht="15" hidden="false" customHeight="false" outlineLevel="0" collapsed="false">
      <c r="A816" s="8" t="n">
        <v>72</v>
      </c>
      <c r="B816" s="8" t="s">
        <v>1552</v>
      </c>
    </row>
    <row r="817" customFormat="false" ht="15" hidden="false" customHeight="false" outlineLevel="0" collapsed="false">
      <c r="A817" s="8" t="n">
        <v>79</v>
      </c>
      <c r="B817" s="8" t="s">
        <v>1552</v>
      </c>
    </row>
    <row r="818" customFormat="false" ht="15" hidden="false" customHeight="false" outlineLevel="0" collapsed="false">
      <c r="A818" s="8" t="n">
        <v>82</v>
      </c>
      <c r="B818" s="8" t="s">
        <v>1552</v>
      </c>
    </row>
    <row r="819" customFormat="false" ht="15" hidden="false" customHeight="false" outlineLevel="0" collapsed="false">
      <c r="A819" s="8" t="n">
        <v>87</v>
      </c>
      <c r="B819" s="8" t="s">
        <v>1552</v>
      </c>
    </row>
    <row r="820" customFormat="false" ht="15" hidden="false" customHeight="false" outlineLevel="0" collapsed="false">
      <c r="A820" s="8" t="n">
        <v>89</v>
      </c>
      <c r="B820" s="8" t="s">
        <v>1552</v>
      </c>
    </row>
    <row r="821" customFormat="false" ht="15" hidden="false" customHeight="false" outlineLevel="0" collapsed="false">
      <c r="A821" s="8" t="n">
        <v>93</v>
      </c>
      <c r="B821" s="8" t="s">
        <v>1552</v>
      </c>
    </row>
    <row r="822" customFormat="false" ht="15" hidden="false" customHeight="false" outlineLevel="0" collapsed="false">
      <c r="A822" s="8" t="n">
        <v>100</v>
      </c>
      <c r="B822" s="8" t="s">
        <v>1552</v>
      </c>
    </row>
    <row r="823" customFormat="false" ht="15" hidden="false" customHeight="false" outlineLevel="0" collapsed="false">
      <c r="A823" s="8" t="n">
        <v>112</v>
      </c>
      <c r="B823" s="8" t="s">
        <v>1552</v>
      </c>
    </row>
    <row r="824" customFormat="false" ht="15" hidden="false" customHeight="false" outlineLevel="0" collapsed="false">
      <c r="A824" s="8" t="n">
        <v>115</v>
      </c>
      <c r="B824" s="8" t="s">
        <v>1552</v>
      </c>
    </row>
    <row r="825" customFormat="false" ht="15" hidden="false" customHeight="false" outlineLevel="0" collapsed="false">
      <c r="A825" s="8" t="n">
        <v>120</v>
      </c>
      <c r="B825" s="8" t="s">
        <v>1552</v>
      </c>
    </row>
    <row r="826" customFormat="false" ht="15" hidden="false" customHeight="false" outlineLevel="0" collapsed="false">
      <c r="A826" s="8" t="n">
        <v>123</v>
      </c>
      <c r="B826" s="8" t="s">
        <v>1552</v>
      </c>
    </row>
    <row r="827" customFormat="false" ht="15" hidden="false" customHeight="false" outlineLevel="0" collapsed="false">
      <c r="A827" s="8" t="n">
        <v>125</v>
      </c>
      <c r="B827" s="8" t="s">
        <v>1552</v>
      </c>
    </row>
    <row r="828" customFormat="false" ht="15" hidden="false" customHeight="false" outlineLevel="0" collapsed="false">
      <c r="A828" s="8" t="n">
        <v>139</v>
      </c>
      <c r="B828" s="8" t="s">
        <v>1552</v>
      </c>
    </row>
    <row r="829" customFormat="false" ht="15" hidden="false" customHeight="false" outlineLevel="0" collapsed="false">
      <c r="A829" s="8" t="n">
        <v>144</v>
      </c>
      <c r="B829" s="8" t="s">
        <v>1552</v>
      </c>
    </row>
    <row r="830" customFormat="false" ht="15" hidden="false" customHeight="false" outlineLevel="0" collapsed="false">
      <c r="A830" s="8" t="n">
        <v>145</v>
      </c>
      <c r="B830" s="8" t="s">
        <v>1552</v>
      </c>
    </row>
    <row r="831" customFormat="false" ht="15" hidden="false" customHeight="false" outlineLevel="0" collapsed="false">
      <c r="A831" s="8" t="n">
        <v>150</v>
      </c>
      <c r="B831" s="8" t="s">
        <v>1552</v>
      </c>
    </row>
    <row r="832" customFormat="false" ht="15" hidden="false" customHeight="false" outlineLevel="0" collapsed="false">
      <c r="A832" s="8" t="n">
        <v>157</v>
      </c>
      <c r="B832" s="8" t="s">
        <v>1552</v>
      </c>
    </row>
    <row r="833" customFormat="false" ht="15" hidden="false" customHeight="false" outlineLevel="0" collapsed="false">
      <c r="A833" s="8" t="n">
        <v>171</v>
      </c>
      <c r="B833" s="8" t="s">
        <v>1552</v>
      </c>
    </row>
    <row r="834" customFormat="false" ht="15" hidden="false" customHeight="false" outlineLevel="0" collapsed="false">
      <c r="A834" s="8" t="n">
        <v>172</v>
      </c>
      <c r="B834" s="8" t="s">
        <v>1552</v>
      </c>
    </row>
    <row r="835" customFormat="false" ht="15" hidden="false" customHeight="false" outlineLevel="0" collapsed="false">
      <c r="A835" s="8" t="n">
        <v>175</v>
      </c>
      <c r="B835" s="8" t="s">
        <v>1552</v>
      </c>
    </row>
    <row r="836" customFormat="false" ht="15" hidden="false" customHeight="false" outlineLevel="0" collapsed="false">
      <c r="A836" s="8" t="n">
        <v>176</v>
      </c>
      <c r="B836" s="8" t="s">
        <v>1552</v>
      </c>
    </row>
    <row r="837" customFormat="false" ht="15" hidden="false" customHeight="false" outlineLevel="0" collapsed="false">
      <c r="A837" s="8" t="n">
        <v>177</v>
      </c>
      <c r="B837" s="8" t="s">
        <v>1552</v>
      </c>
    </row>
    <row r="838" customFormat="false" ht="15" hidden="false" customHeight="false" outlineLevel="0" collapsed="false">
      <c r="A838" s="8" t="n">
        <v>178</v>
      </c>
      <c r="B838" s="8" t="s">
        <v>1552</v>
      </c>
    </row>
    <row r="839" customFormat="false" ht="15" hidden="false" customHeight="false" outlineLevel="0" collapsed="false">
      <c r="A839" s="8" t="n">
        <v>179</v>
      </c>
      <c r="B839" s="8" t="s">
        <v>1552</v>
      </c>
    </row>
    <row r="840" customFormat="false" ht="15" hidden="false" customHeight="false" outlineLevel="0" collapsed="false">
      <c r="A840" s="8" t="n">
        <v>185</v>
      </c>
      <c r="B840" s="8" t="s">
        <v>1552</v>
      </c>
    </row>
    <row r="841" customFormat="false" ht="15" hidden="false" customHeight="false" outlineLevel="0" collapsed="false">
      <c r="A841" s="8" t="n">
        <v>186</v>
      </c>
      <c r="B841" s="8" t="s">
        <v>1552</v>
      </c>
    </row>
    <row r="842" customFormat="false" ht="15" hidden="false" customHeight="false" outlineLevel="0" collapsed="false">
      <c r="A842" s="8" t="n">
        <v>213</v>
      </c>
      <c r="B842" s="8" t="s">
        <v>1552</v>
      </c>
    </row>
    <row r="843" customFormat="false" ht="15" hidden="false" customHeight="false" outlineLevel="0" collapsed="false">
      <c r="A843" s="8" t="n">
        <v>79</v>
      </c>
      <c r="B843" s="8" t="s">
        <v>1553</v>
      </c>
    </row>
    <row r="844" customFormat="false" ht="15" hidden="false" customHeight="false" outlineLevel="0" collapsed="false">
      <c r="A844" s="8" t="n">
        <v>107</v>
      </c>
      <c r="B844" s="8" t="s">
        <v>1553</v>
      </c>
    </row>
    <row r="845" customFormat="false" ht="15" hidden="false" customHeight="false" outlineLevel="0" collapsed="false">
      <c r="A845" s="8" t="n">
        <v>117</v>
      </c>
      <c r="B845" s="8" t="s">
        <v>1554</v>
      </c>
    </row>
    <row r="846" customFormat="false" ht="15" hidden="false" customHeight="false" outlineLevel="0" collapsed="false">
      <c r="A846" s="8" t="n">
        <v>9</v>
      </c>
      <c r="B846" s="8" t="s">
        <v>1555</v>
      </c>
    </row>
    <row r="847" customFormat="false" ht="15" hidden="false" customHeight="false" outlineLevel="0" collapsed="false">
      <c r="A847" s="8" t="n">
        <v>37</v>
      </c>
      <c r="B847" s="8" t="s">
        <v>1555</v>
      </c>
    </row>
    <row r="848" customFormat="false" ht="15" hidden="false" customHeight="false" outlineLevel="0" collapsed="false">
      <c r="A848" s="8" t="n">
        <v>41</v>
      </c>
      <c r="B848" s="8" t="s">
        <v>1555</v>
      </c>
    </row>
    <row r="849" customFormat="false" ht="15" hidden="false" customHeight="false" outlineLevel="0" collapsed="false">
      <c r="A849" s="8" t="n">
        <v>64</v>
      </c>
      <c r="B849" s="8" t="s">
        <v>1555</v>
      </c>
    </row>
    <row r="850" customFormat="false" ht="15" hidden="false" customHeight="false" outlineLevel="0" collapsed="false">
      <c r="A850" s="8" t="n">
        <v>85</v>
      </c>
      <c r="B850" s="8" t="s">
        <v>1555</v>
      </c>
    </row>
    <row r="851" customFormat="false" ht="15" hidden="false" customHeight="false" outlineLevel="0" collapsed="false">
      <c r="A851" s="8" t="n">
        <v>94</v>
      </c>
      <c r="B851" s="8" t="s">
        <v>1555</v>
      </c>
    </row>
    <row r="852" customFormat="false" ht="15" hidden="false" customHeight="false" outlineLevel="0" collapsed="false">
      <c r="A852" s="8" t="n">
        <v>95</v>
      </c>
      <c r="B852" s="8" t="s">
        <v>1555</v>
      </c>
    </row>
    <row r="853" customFormat="false" ht="15" hidden="false" customHeight="false" outlineLevel="0" collapsed="false">
      <c r="A853" s="8" t="n">
        <v>120</v>
      </c>
      <c r="B853" s="8" t="s">
        <v>1555</v>
      </c>
    </row>
    <row r="854" customFormat="false" ht="15" hidden="false" customHeight="false" outlineLevel="0" collapsed="false">
      <c r="A854" s="8" t="n">
        <v>153</v>
      </c>
      <c r="B854" s="8" t="s">
        <v>1555</v>
      </c>
    </row>
    <row r="855" customFormat="false" ht="15" hidden="false" customHeight="false" outlineLevel="0" collapsed="false">
      <c r="A855" s="8" t="n">
        <v>154</v>
      </c>
      <c r="B855" s="8" t="s">
        <v>1555</v>
      </c>
    </row>
    <row r="856" customFormat="false" ht="15" hidden="false" customHeight="false" outlineLevel="0" collapsed="false">
      <c r="A856" s="8" t="n">
        <v>161</v>
      </c>
      <c r="B856" s="8" t="s">
        <v>1555</v>
      </c>
    </row>
    <row r="857" customFormat="false" ht="15" hidden="false" customHeight="false" outlineLevel="0" collapsed="false">
      <c r="A857" s="8" t="n">
        <v>165</v>
      </c>
      <c r="B857" s="8" t="s">
        <v>1555</v>
      </c>
    </row>
    <row r="858" customFormat="false" ht="15" hidden="false" customHeight="false" outlineLevel="0" collapsed="false">
      <c r="A858" s="8" t="n">
        <v>168</v>
      </c>
      <c r="B858" s="8" t="s">
        <v>1555</v>
      </c>
    </row>
    <row r="859" customFormat="false" ht="15" hidden="false" customHeight="false" outlineLevel="0" collapsed="false">
      <c r="A859" s="8" t="n">
        <v>189</v>
      </c>
      <c r="B859" s="8" t="s">
        <v>1555</v>
      </c>
    </row>
    <row r="860" customFormat="false" ht="15" hidden="false" customHeight="false" outlineLevel="0" collapsed="false">
      <c r="A860" s="8" t="n">
        <v>191</v>
      </c>
      <c r="B860" s="8" t="s">
        <v>1555</v>
      </c>
    </row>
    <row r="861" customFormat="false" ht="15" hidden="false" customHeight="false" outlineLevel="0" collapsed="false">
      <c r="A861" s="8" t="n">
        <v>197</v>
      </c>
      <c r="B861" s="8" t="s">
        <v>1555</v>
      </c>
    </row>
    <row r="862" customFormat="false" ht="15" hidden="false" customHeight="false" outlineLevel="0" collapsed="false">
      <c r="A862" s="8" t="n">
        <v>199</v>
      </c>
      <c r="B862" s="8" t="s">
        <v>1555</v>
      </c>
    </row>
    <row r="863" customFormat="false" ht="15" hidden="false" customHeight="false" outlineLevel="0" collapsed="false">
      <c r="A863" s="8" t="n">
        <v>205</v>
      </c>
      <c r="B863" s="8" t="s">
        <v>1555</v>
      </c>
    </row>
    <row r="864" customFormat="false" ht="15" hidden="false" customHeight="false" outlineLevel="0" collapsed="false">
      <c r="A864" s="8" t="n">
        <v>212</v>
      </c>
      <c r="B864" s="8" t="s">
        <v>1555</v>
      </c>
    </row>
    <row r="865" customFormat="false" ht="15" hidden="false" customHeight="false" outlineLevel="0" collapsed="false">
      <c r="A865" s="8" t="n">
        <v>217</v>
      </c>
      <c r="B865" s="8" t="s">
        <v>1555</v>
      </c>
    </row>
    <row r="866" customFormat="false" ht="15" hidden="false" customHeight="false" outlineLevel="0" collapsed="false">
      <c r="A866" s="8" t="n">
        <v>218</v>
      </c>
      <c r="B866" s="8" t="s">
        <v>1555</v>
      </c>
    </row>
    <row r="867" customFormat="false" ht="15" hidden="false" customHeight="false" outlineLevel="0" collapsed="false">
      <c r="A867" s="8" t="n">
        <v>219</v>
      </c>
      <c r="B867" s="8" t="s">
        <v>1555</v>
      </c>
    </row>
    <row r="868" customFormat="false" ht="15" hidden="false" customHeight="false" outlineLevel="0" collapsed="false">
      <c r="A868" s="8" t="n">
        <v>223</v>
      </c>
      <c r="B868" s="8" t="s">
        <v>1555</v>
      </c>
    </row>
    <row r="869" customFormat="false" ht="15" hidden="false" customHeight="false" outlineLevel="0" collapsed="false">
      <c r="A869" s="8" t="n">
        <v>224</v>
      </c>
      <c r="B869" s="8" t="s">
        <v>1555</v>
      </c>
    </row>
    <row r="870" customFormat="false" ht="15" hidden="false" customHeight="false" outlineLevel="0" collapsed="false">
      <c r="A870" s="8" t="n">
        <v>226</v>
      </c>
      <c r="B870" s="8" t="s">
        <v>1555</v>
      </c>
    </row>
    <row r="871" customFormat="false" ht="15" hidden="false" customHeight="false" outlineLevel="0" collapsed="false">
      <c r="A871" s="8" t="n">
        <v>9</v>
      </c>
      <c r="B871" s="8" t="s">
        <v>1556</v>
      </c>
    </row>
    <row r="872" customFormat="false" ht="15" hidden="false" customHeight="false" outlineLevel="0" collapsed="false">
      <c r="A872" s="8" t="n">
        <v>16</v>
      </c>
      <c r="B872" s="8" t="s">
        <v>1556</v>
      </c>
    </row>
    <row r="873" customFormat="false" ht="15" hidden="false" customHeight="false" outlineLevel="0" collapsed="false">
      <c r="A873" s="8" t="n">
        <v>46</v>
      </c>
      <c r="B873" s="8" t="s">
        <v>1556</v>
      </c>
    </row>
    <row r="874" customFormat="false" ht="15" hidden="false" customHeight="false" outlineLevel="0" collapsed="false">
      <c r="A874" s="8" t="n">
        <v>94</v>
      </c>
      <c r="B874" s="8" t="s">
        <v>1556</v>
      </c>
    </row>
    <row r="875" customFormat="false" ht="15" hidden="false" customHeight="false" outlineLevel="0" collapsed="false">
      <c r="A875" s="8" t="n">
        <v>120</v>
      </c>
      <c r="B875" s="8" t="s">
        <v>1556</v>
      </c>
    </row>
    <row r="876" customFormat="false" ht="15" hidden="false" customHeight="false" outlineLevel="0" collapsed="false">
      <c r="A876" s="8" t="n">
        <v>126</v>
      </c>
      <c r="B876" s="8" t="s">
        <v>1556</v>
      </c>
    </row>
    <row r="877" customFormat="false" ht="15" hidden="false" customHeight="false" outlineLevel="0" collapsed="false">
      <c r="A877" s="8" t="n">
        <v>128</v>
      </c>
      <c r="B877" s="8" t="s">
        <v>1556</v>
      </c>
    </row>
    <row r="878" customFormat="false" ht="15" hidden="false" customHeight="false" outlineLevel="0" collapsed="false">
      <c r="A878" s="8" t="n">
        <v>146</v>
      </c>
      <c r="B878" s="8" t="s">
        <v>1556</v>
      </c>
    </row>
    <row r="879" customFormat="false" ht="15" hidden="false" customHeight="false" outlineLevel="0" collapsed="false">
      <c r="A879" s="8" t="n">
        <v>187</v>
      </c>
      <c r="B879" s="8" t="s">
        <v>1556</v>
      </c>
    </row>
    <row r="880" customFormat="false" ht="15" hidden="false" customHeight="false" outlineLevel="0" collapsed="false">
      <c r="A880" s="8" t="n">
        <v>226</v>
      </c>
      <c r="B880" s="8" t="s">
        <v>1556</v>
      </c>
    </row>
    <row r="881" customFormat="false" ht="15" hidden="false" customHeight="false" outlineLevel="0" collapsed="false">
      <c r="A881" s="8" t="n">
        <v>73</v>
      </c>
      <c r="B881" s="8" t="s">
        <v>1557</v>
      </c>
    </row>
    <row r="882" customFormat="false" ht="15" hidden="false" customHeight="false" outlineLevel="0" collapsed="false">
      <c r="A882" s="8" t="n">
        <v>99</v>
      </c>
      <c r="B882" s="8" t="s">
        <v>1557</v>
      </c>
    </row>
    <row r="883" customFormat="false" ht="15" hidden="false" customHeight="false" outlineLevel="0" collapsed="false">
      <c r="A883" s="8" t="n">
        <v>34</v>
      </c>
      <c r="B883" s="8" t="s">
        <v>1558</v>
      </c>
    </row>
    <row r="884" customFormat="false" ht="15" hidden="false" customHeight="false" outlineLevel="0" collapsed="false">
      <c r="A884" s="8" t="n">
        <v>71</v>
      </c>
      <c r="B884" s="8" t="s">
        <v>1558</v>
      </c>
    </row>
    <row r="885" customFormat="false" ht="15" hidden="false" customHeight="false" outlineLevel="0" collapsed="false">
      <c r="A885" s="8" t="n">
        <v>13</v>
      </c>
      <c r="B885" s="8" t="s">
        <v>1559</v>
      </c>
    </row>
    <row r="886" customFormat="false" ht="15" hidden="false" customHeight="false" outlineLevel="0" collapsed="false">
      <c r="A886" s="8" t="n">
        <v>112</v>
      </c>
      <c r="B886" s="8" t="s">
        <v>1559</v>
      </c>
    </row>
    <row r="887" customFormat="false" ht="15" hidden="false" customHeight="false" outlineLevel="0" collapsed="false">
      <c r="A887" s="8" t="n">
        <v>52</v>
      </c>
      <c r="B887" s="8" t="s">
        <v>1560</v>
      </c>
    </row>
    <row r="888" customFormat="false" ht="15" hidden="false" customHeight="false" outlineLevel="0" collapsed="false">
      <c r="A888" s="8" t="n">
        <v>3</v>
      </c>
      <c r="B888" s="8" t="s">
        <v>1561</v>
      </c>
    </row>
    <row r="889" customFormat="false" ht="15" hidden="false" customHeight="false" outlineLevel="0" collapsed="false">
      <c r="A889" s="8" t="n">
        <v>7</v>
      </c>
      <c r="B889" s="8" t="s">
        <v>1561</v>
      </c>
    </row>
    <row r="890" customFormat="false" ht="15" hidden="false" customHeight="false" outlineLevel="0" collapsed="false">
      <c r="A890" s="8" t="n">
        <v>8</v>
      </c>
      <c r="B890" s="8" t="s">
        <v>1561</v>
      </c>
    </row>
    <row r="891" customFormat="false" ht="15" hidden="false" customHeight="false" outlineLevel="0" collapsed="false">
      <c r="A891" s="8" t="n">
        <v>10</v>
      </c>
      <c r="B891" s="8" t="s">
        <v>1561</v>
      </c>
    </row>
    <row r="892" customFormat="false" ht="15" hidden="false" customHeight="false" outlineLevel="0" collapsed="false">
      <c r="A892" s="8" t="n">
        <v>14</v>
      </c>
      <c r="B892" s="8" t="s">
        <v>1561</v>
      </c>
    </row>
    <row r="893" customFormat="false" ht="15" hidden="false" customHeight="false" outlineLevel="0" collapsed="false">
      <c r="A893" s="8" t="n">
        <v>15</v>
      </c>
      <c r="B893" s="8" t="s">
        <v>1561</v>
      </c>
    </row>
    <row r="894" customFormat="false" ht="15" hidden="false" customHeight="false" outlineLevel="0" collapsed="false">
      <c r="A894" s="8" t="n">
        <v>17</v>
      </c>
      <c r="B894" s="8" t="s">
        <v>1561</v>
      </c>
    </row>
    <row r="895" customFormat="false" ht="15" hidden="false" customHeight="false" outlineLevel="0" collapsed="false">
      <c r="A895" s="8" t="n">
        <v>18</v>
      </c>
      <c r="B895" s="8" t="s">
        <v>1561</v>
      </c>
    </row>
    <row r="896" customFormat="false" ht="15" hidden="false" customHeight="false" outlineLevel="0" collapsed="false">
      <c r="A896" s="8" t="n">
        <v>19</v>
      </c>
      <c r="B896" s="8" t="s">
        <v>1561</v>
      </c>
    </row>
    <row r="897" customFormat="false" ht="15" hidden="false" customHeight="false" outlineLevel="0" collapsed="false">
      <c r="A897" s="8" t="n">
        <v>23</v>
      </c>
      <c r="B897" s="8" t="s">
        <v>1561</v>
      </c>
    </row>
    <row r="898" customFormat="false" ht="15" hidden="false" customHeight="false" outlineLevel="0" collapsed="false">
      <c r="A898" s="8" t="n">
        <v>25</v>
      </c>
      <c r="B898" s="8" t="s">
        <v>1561</v>
      </c>
    </row>
    <row r="899" customFormat="false" ht="15" hidden="false" customHeight="false" outlineLevel="0" collapsed="false">
      <c r="A899" s="8" t="n">
        <v>26</v>
      </c>
      <c r="B899" s="8" t="s">
        <v>1561</v>
      </c>
    </row>
    <row r="900" customFormat="false" ht="15" hidden="false" customHeight="false" outlineLevel="0" collapsed="false">
      <c r="A900" s="8" t="n">
        <v>27</v>
      </c>
      <c r="B900" s="8" t="s">
        <v>1561</v>
      </c>
    </row>
    <row r="901" customFormat="false" ht="15" hidden="false" customHeight="false" outlineLevel="0" collapsed="false">
      <c r="A901" s="8" t="n">
        <v>28</v>
      </c>
      <c r="B901" s="8" t="s">
        <v>1561</v>
      </c>
    </row>
    <row r="902" customFormat="false" ht="15" hidden="false" customHeight="false" outlineLevel="0" collapsed="false">
      <c r="A902" s="8" t="n">
        <v>29</v>
      </c>
      <c r="B902" s="8" t="s">
        <v>1561</v>
      </c>
    </row>
    <row r="903" customFormat="false" ht="15" hidden="false" customHeight="false" outlineLevel="0" collapsed="false">
      <c r="A903" s="8" t="n">
        <v>31</v>
      </c>
      <c r="B903" s="8" t="s">
        <v>1561</v>
      </c>
    </row>
    <row r="904" customFormat="false" ht="15" hidden="false" customHeight="false" outlineLevel="0" collapsed="false">
      <c r="A904" s="8" t="n">
        <v>38</v>
      </c>
      <c r="B904" s="8" t="s">
        <v>1561</v>
      </c>
    </row>
    <row r="905" customFormat="false" ht="15" hidden="false" customHeight="false" outlineLevel="0" collapsed="false">
      <c r="A905" s="8" t="n">
        <v>39</v>
      </c>
      <c r="B905" s="8" t="s">
        <v>1561</v>
      </c>
    </row>
    <row r="906" customFormat="false" ht="15" hidden="false" customHeight="false" outlineLevel="0" collapsed="false">
      <c r="A906" s="8" t="n">
        <v>40</v>
      </c>
      <c r="B906" s="8" t="s">
        <v>1561</v>
      </c>
    </row>
    <row r="907" customFormat="false" ht="15" hidden="false" customHeight="false" outlineLevel="0" collapsed="false">
      <c r="A907" s="8" t="n">
        <v>41</v>
      </c>
      <c r="B907" s="8" t="s">
        <v>1561</v>
      </c>
    </row>
    <row r="908" customFormat="false" ht="15" hidden="false" customHeight="false" outlineLevel="0" collapsed="false">
      <c r="A908" s="8" t="n">
        <v>44</v>
      </c>
      <c r="B908" s="8" t="s">
        <v>1561</v>
      </c>
    </row>
    <row r="909" customFormat="false" ht="15" hidden="false" customHeight="false" outlineLevel="0" collapsed="false">
      <c r="A909" s="8" t="n">
        <v>47</v>
      </c>
      <c r="B909" s="8" t="s">
        <v>1561</v>
      </c>
    </row>
    <row r="910" customFormat="false" ht="15" hidden="false" customHeight="false" outlineLevel="0" collapsed="false">
      <c r="A910" s="8" t="n">
        <v>51</v>
      </c>
      <c r="B910" s="8" t="s">
        <v>1561</v>
      </c>
    </row>
    <row r="911" customFormat="false" ht="15" hidden="false" customHeight="false" outlineLevel="0" collapsed="false">
      <c r="A911" s="8" t="n">
        <v>60</v>
      </c>
      <c r="B911" s="8" t="s">
        <v>1561</v>
      </c>
    </row>
    <row r="912" customFormat="false" ht="15" hidden="false" customHeight="false" outlineLevel="0" collapsed="false">
      <c r="A912" s="8" t="n">
        <v>62</v>
      </c>
      <c r="B912" s="8" t="s">
        <v>1561</v>
      </c>
    </row>
    <row r="913" customFormat="false" ht="15" hidden="false" customHeight="false" outlineLevel="0" collapsed="false">
      <c r="A913" s="8" t="n">
        <v>63</v>
      </c>
      <c r="B913" s="8" t="s">
        <v>1561</v>
      </c>
    </row>
    <row r="914" customFormat="false" ht="15" hidden="false" customHeight="false" outlineLevel="0" collapsed="false">
      <c r="A914" s="8" t="n">
        <v>77</v>
      </c>
      <c r="B914" s="8" t="s">
        <v>1561</v>
      </c>
    </row>
    <row r="915" customFormat="false" ht="15" hidden="false" customHeight="false" outlineLevel="0" collapsed="false">
      <c r="A915" s="8" t="n">
        <v>78</v>
      </c>
      <c r="B915" s="8" t="s">
        <v>1561</v>
      </c>
    </row>
    <row r="916" customFormat="false" ht="15" hidden="false" customHeight="false" outlineLevel="0" collapsed="false">
      <c r="A916" s="8" t="n">
        <v>83</v>
      </c>
      <c r="B916" s="8" t="s">
        <v>1561</v>
      </c>
    </row>
    <row r="917" customFormat="false" ht="15" hidden="false" customHeight="false" outlineLevel="0" collapsed="false">
      <c r="A917" s="8" t="n">
        <v>87</v>
      </c>
      <c r="B917" s="8" t="s">
        <v>1561</v>
      </c>
    </row>
    <row r="918" customFormat="false" ht="15" hidden="false" customHeight="false" outlineLevel="0" collapsed="false">
      <c r="A918" s="8" t="n">
        <v>88</v>
      </c>
      <c r="B918" s="8" t="s">
        <v>1561</v>
      </c>
    </row>
    <row r="919" customFormat="false" ht="15" hidden="false" customHeight="false" outlineLevel="0" collapsed="false">
      <c r="A919" s="8" t="n">
        <v>92</v>
      </c>
      <c r="B919" s="8" t="s">
        <v>1561</v>
      </c>
    </row>
    <row r="920" customFormat="false" ht="15" hidden="false" customHeight="false" outlineLevel="0" collapsed="false">
      <c r="A920" s="8" t="n">
        <v>97</v>
      </c>
      <c r="B920" s="8" t="s">
        <v>1561</v>
      </c>
    </row>
    <row r="921" customFormat="false" ht="15" hidden="false" customHeight="false" outlineLevel="0" collapsed="false">
      <c r="A921" s="8" t="n">
        <v>100</v>
      </c>
      <c r="B921" s="8" t="s">
        <v>1561</v>
      </c>
    </row>
    <row r="922" customFormat="false" ht="15" hidden="false" customHeight="false" outlineLevel="0" collapsed="false">
      <c r="A922" s="8" t="n">
        <v>102</v>
      </c>
      <c r="B922" s="8" t="s">
        <v>1561</v>
      </c>
    </row>
    <row r="923" customFormat="false" ht="15" hidden="false" customHeight="false" outlineLevel="0" collapsed="false">
      <c r="A923" s="8" t="n">
        <v>107</v>
      </c>
      <c r="B923" s="8" t="s">
        <v>1561</v>
      </c>
    </row>
    <row r="924" customFormat="false" ht="15" hidden="false" customHeight="false" outlineLevel="0" collapsed="false">
      <c r="A924" s="8" t="n">
        <v>112</v>
      </c>
      <c r="B924" s="8" t="s">
        <v>1561</v>
      </c>
    </row>
    <row r="925" customFormat="false" ht="15" hidden="false" customHeight="false" outlineLevel="0" collapsed="false">
      <c r="A925" s="8" t="n">
        <v>113</v>
      </c>
      <c r="B925" s="8" t="s">
        <v>1561</v>
      </c>
    </row>
    <row r="926" customFormat="false" ht="15" hidden="false" customHeight="false" outlineLevel="0" collapsed="false">
      <c r="A926" s="8" t="n">
        <v>114</v>
      </c>
      <c r="B926" s="8" t="s">
        <v>1561</v>
      </c>
    </row>
    <row r="927" customFormat="false" ht="15" hidden="false" customHeight="false" outlineLevel="0" collapsed="false">
      <c r="A927" s="8" t="n">
        <v>119</v>
      </c>
      <c r="B927" s="8" t="s">
        <v>1561</v>
      </c>
    </row>
    <row r="928" customFormat="false" ht="15" hidden="false" customHeight="false" outlineLevel="0" collapsed="false">
      <c r="A928" s="8" t="n">
        <v>127</v>
      </c>
      <c r="B928" s="8" t="s">
        <v>1561</v>
      </c>
    </row>
    <row r="929" customFormat="false" ht="15" hidden="false" customHeight="false" outlineLevel="0" collapsed="false">
      <c r="A929" s="8" t="n">
        <v>132</v>
      </c>
      <c r="B929" s="8" t="s">
        <v>1561</v>
      </c>
    </row>
    <row r="930" customFormat="false" ht="15" hidden="false" customHeight="false" outlineLevel="0" collapsed="false">
      <c r="A930" s="8" t="n">
        <v>138</v>
      </c>
      <c r="B930" s="8" t="s">
        <v>1561</v>
      </c>
    </row>
    <row r="931" customFormat="false" ht="15" hidden="false" customHeight="false" outlineLevel="0" collapsed="false">
      <c r="A931" s="8" t="n">
        <v>141</v>
      </c>
      <c r="B931" s="8" t="s">
        <v>1561</v>
      </c>
    </row>
    <row r="932" customFormat="false" ht="15" hidden="false" customHeight="false" outlineLevel="0" collapsed="false">
      <c r="A932" s="8" t="n">
        <v>145</v>
      </c>
      <c r="B932" s="8" t="s">
        <v>1561</v>
      </c>
    </row>
    <row r="933" customFormat="false" ht="15" hidden="false" customHeight="false" outlineLevel="0" collapsed="false">
      <c r="A933" s="8" t="n">
        <v>148</v>
      </c>
      <c r="B933" s="8" t="s">
        <v>1561</v>
      </c>
    </row>
    <row r="934" customFormat="false" ht="15" hidden="false" customHeight="false" outlineLevel="0" collapsed="false">
      <c r="A934" s="8" t="n">
        <v>155</v>
      </c>
      <c r="B934" s="8" t="s">
        <v>1561</v>
      </c>
    </row>
    <row r="935" customFormat="false" ht="15" hidden="false" customHeight="false" outlineLevel="0" collapsed="false">
      <c r="A935" s="8" t="n">
        <v>167</v>
      </c>
      <c r="B935" s="8" t="s">
        <v>1561</v>
      </c>
    </row>
    <row r="936" customFormat="false" ht="15" hidden="false" customHeight="false" outlineLevel="0" collapsed="false">
      <c r="A936" s="8" t="n">
        <v>182</v>
      </c>
      <c r="B936" s="8" t="s">
        <v>1561</v>
      </c>
    </row>
    <row r="937" customFormat="false" ht="15" hidden="false" customHeight="false" outlineLevel="0" collapsed="false">
      <c r="A937" s="8" t="n">
        <v>196</v>
      </c>
      <c r="B937" s="8" t="s">
        <v>1561</v>
      </c>
    </row>
    <row r="938" customFormat="false" ht="15" hidden="false" customHeight="false" outlineLevel="0" collapsed="false">
      <c r="A938" s="8" t="n">
        <v>213</v>
      </c>
      <c r="B938" s="8" t="s">
        <v>1561</v>
      </c>
    </row>
    <row r="939" customFormat="false" ht="15" hidden="false" customHeight="false" outlineLevel="0" collapsed="false">
      <c r="A939" s="8" t="n">
        <v>222</v>
      </c>
      <c r="B939" s="8" t="s">
        <v>1561</v>
      </c>
    </row>
    <row r="940" customFormat="false" ht="15" hidden="false" customHeight="false" outlineLevel="0" collapsed="false">
      <c r="A940" s="8" t="n">
        <v>225</v>
      </c>
      <c r="B940" s="8" t="s">
        <v>1561</v>
      </c>
    </row>
    <row r="941" customFormat="false" ht="15" hidden="false" customHeight="false" outlineLevel="0" collapsed="false">
      <c r="A941" s="8" t="n">
        <v>20</v>
      </c>
      <c r="B941" s="8" t="s">
        <v>1562</v>
      </c>
    </row>
    <row r="942" customFormat="false" ht="15" hidden="false" customHeight="false" outlineLevel="0" collapsed="false">
      <c r="A942" s="8" t="n">
        <v>23</v>
      </c>
      <c r="B942" s="8" t="s">
        <v>1562</v>
      </c>
    </row>
    <row r="943" customFormat="false" ht="15" hidden="false" customHeight="false" outlineLevel="0" collapsed="false">
      <c r="A943" s="8" t="n">
        <v>33</v>
      </c>
      <c r="B943" s="8" t="s">
        <v>1562</v>
      </c>
    </row>
    <row r="944" customFormat="false" ht="15" hidden="false" customHeight="false" outlineLevel="0" collapsed="false">
      <c r="A944" s="8" t="n">
        <v>48</v>
      </c>
      <c r="B944" s="8" t="s">
        <v>1562</v>
      </c>
    </row>
    <row r="945" customFormat="false" ht="15" hidden="false" customHeight="false" outlineLevel="0" collapsed="false">
      <c r="A945" s="8" t="n">
        <v>71</v>
      </c>
      <c r="B945" s="8" t="s">
        <v>1562</v>
      </c>
    </row>
    <row r="946" customFormat="false" ht="15" hidden="false" customHeight="false" outlineLevel="0" collapsed="false">
      <c r="A946" s="8" t="n">
        <v>77</v>
      </c>
      <c r="B946" s="8" t="s">
        <v>1562</v>
      </c>
    </row>
    <row r="947" customFormat="false" ht="15" hidden="false" customHeight="false" outlineLevel="0" collapsed="false">
      <c r="A947" s="8" t="n">
        <v>87</v>
      </c>
      <c r="B947" s="8" t="s">
        <v>1562</v>
      </c>
    </row>
    <row r="948" customFormat="false" ht="15" hidden="false" customHeight="false" outlineLevel="0" collapsed="false">
      <c r="A948" s="8" t="n">
        <v>98</v>
      </c>
      <c r="B948" s="8" t="s">
        <v>1562</v>
      </c>
    </row>
    <row r="949" customFormat="false" ht="15" hidden="false" customHeight="false" outlineLevel="0" collapsed="false">
      <c r="A949" s="8" t="n">
        <v>111</v>
      </c>
      <c r="B949" s="8" t="s">
        <v>1562</v>
      </c>
    </row>
    <row r="950" customFormat="false" ht="15" hidden="false" customHeight="false" outlineLevel="0" collapsed="false">
      <c r="A950" s="8" t="n">
        <v>114</v>
      </c>
      <c r="B950" s="8" t="s">
        <v>1562</v>
      </c>
    </row>
    <row r="951" customFormat="false" ht="15" hidden="false" customHeight="false" outlineLevel="0" collapsed="false">
      <c r="A951" s="8" t="n">
        <v>137</v>
      </c>
      <c r="B951" s="8" t="s">
        <v>1562</v>
      </c>
    </row>
    <row r="952" customFormat="false" ht="15" hidden="false" customHeight="false" outlineLevel="0" collapsed="false">
      <c r="A952" s="8" t="n">
        <v>158</v>
      </c>
      <c r="B952" s="8" t="s">
        <v>1562</v>
      </c>
    </row>
    <row r="953" customFormat="false" ht="15" hidden="false" customHeight="false" outlineLevel="0" collapsed="false">
      <c r="A953" s="8" t="n">
        <v>182</v>
      </c>
      <c r="B953" s="8" t="s">
        <v>1562</v>
      </c>
    </row>
    <row r="954" customFormat="false" ht="15" hidden="false" customHeight="false" outlineLevel="0" collapsed="false">
      <c r="A954" s="8" t="n">
        <v>196</v>
      </c>
      <c r="B954" s="8" t="s">
        <v>1562</v>
      </c>
    </row>
    <row r="955" customFormat="false" ht="15" hidden="false" customHeight="false" outlineLevel="0" collapsed="false">
      <c r="A955" s="8" t="n">
        <v>225</v>
      </c>
      <c r="B955" s="8" t="s">
        <v>1562</v>
      </c>
    </row>
    <row r="956" customFormat="false" ht="15" hidden="false" customHeight="false" outlineLevel="0" collapsed="false">
      <c r="A956" s="8" t="n">
        <v>51</v>
      </c>
      <c r="B956" s="8" t="s">
        <v>1563</v>
      </c>
    </row>
    <row r="957" customFormat="false" ht="15" hidden="false" customHeight="false" outlineLevel="0" collapsed="false">
      <c r="A957" s="8" t="n">
        <v>41</v>
      </c>
      <c r="B957" s="8" t="s">
        <v>1564</v>
      </c>
    </row>
    <row r="958" customFormat="false" ht="15" hidden="false" customHeight="false" outlineLevel="0" collapsed="false">
      <c r="A958" s="8" t="n">
        <v>74</v>
      </c>
      <c r="B958" s="8" t="s">
        <v>1564</v>
      </c>
    </row>
    <row r="959" customFormat="false" ht="15" hidden="false" customHeight="false" outlineLevel="0" collapsed="false">
      <c r="A959" s="8" t="n">
        <v>212</v>
      </c>
      <c r="B959" s="8" t="s">
        <v>1564</v>
      </c>
    </row>
    <row r="960" customFormat="false" ht="15" hidden="false" customHeight="false" outlineLevel="0" collapsed="false">
      <c r="A960" s="8" t="n">
        <v>203</v>
      </c>
      <c r="B960" s="8" t="s">
        <v>1565</v>
      </c>
    </row>
    <row r="961" customFormat="false" ht="15" hidden="false" customHeight="false" outlineLevel="0" collapsed="false">
      <c r="A961" s="8" t="n">
        <v>40</v>
      </c>
      <c r="B961" s="8" t="s">
        <v>1566</v>
      </c>
    </row>
    <row r="962" customFormat="false" ht="15" hidden="false" customHeight="false" outlineLevel="0" collapsed="false">
      <c r="A962" s="8" t="n">
        <v>17</v>
      </c>
      <c r="B962" s="8" t="s">
        <v>1567</v>
      </c>
    </row>
    <row r="963" customFormat="false" ht="15" hidden="false" customHeight="false" outlineLevel="0" collapsed="false">
      <c r="A963" s="8" t="n">
        <v>39</v>
      </c>
      <c r="B963" s="8" t="s">
        <v>1567</v>
      </c>
    </row>
    <row r="964" customFormat="false" ht="15" hidden="false" customHeight="false" outlineLevel="0" collapsed="false">
      <c r="A964" s="8" t="n">
        <v>46</v>
      </c>
      <c r="B964" s="8" t="s">
        <v>1567</v>
      </c>
    </row>
    <row r="965" customFormat="false" ht="15" hidden="false" customHeight="false" outlineLevel="0" collapsed="false">
      <c r="A965" s="8" t="n">
        <v>71</v>
      </c>
      <c r="B965" s="8" t="s">
        <v>1567</v>
      </c>
    </row>
    <row r="966" customFormat="false" ht="15" hidden="false" customHeight="false" outlineLevel="0" collapsed="false">
      <c r="A966" s="8" t="n">
        <v>102</v>
      </c>
      <c r="B966" s="8" t="s">
        <v>1567</v>
      </c>
    </row>
    <row r="967" customFormat="false" ht="15" hidden="false" customHeight="false" outlineLevel="0" collapsed="false">
      <c r="A967" s="8" t="n">
        <v>119</v>
      </c>
      <c r="B967" s="8" t="s">
        <v>1567</v>
      </c>
    </row>
    <row r="968" customFormat="false" ht="15" hidden="false" customHeight="false" outlineLevel="0" collapsed="false">
      <c r="A968" s="8" t="n">
        <v>125</v>
      </c>
      <c r="B968" s="8" t="s">
        <v>1567</v>
      </c>
    </row>
    <row r="969" customFormat="false" ht="15" hidden="false" customHeight="false" outlineLevel="0" collapsed="false">
      <c r="A969" s="8" t="n">
        <v>141</v>
      </c>
      <c r="B969" s="8" t="s">
        <v>1567</v>
      </c>
    </row>
    <row r="970" customFormat="false" ht="15" hidden="false" customHeight="false" outlineLevel="0" collapsed="false">
      <c r="A970" s="8" t="n">
        <v>145</v>
      </c>
      <c r="B970" s="8" t="s">
        <v>1567</v>
      </c>
    </row>
    <row r="971" customFormat="false" ht="15" hidden="false" customHeight="false" outlineLevel="0" collapsed="false">
      <c r="A971" s="8" t="n">
        <v>225</v>
      </c>
      <c r="B971" s="8" t="s">
        <v>1567</v>
      </c>
    </row>
    <row r="972" customFormat="false" ht="15" hidden="false" customHeight="false" outlineLevel="0" collapsed="false">
      <c r="A972" s="8" t="n">
        <v>17</v>
      </c>
      <c r="B972" s="8" t="s">
        <v>1568</v>
      </c>
    </row>
    <row r="973" customFormat="false" ht="15" hidden="false" customHeight="false" outlineLevel="0" collapsed="false">
      <c r="A973" s="8" t="n">
        <v>46</v>
      </c>
      <c r="B973" s="8" t="s">
        <v>1568</v>
      </c>
    </row>
    <row r="974" customFormat="false" ht="15" hidden="false" customHeight="false" outlineLevel="0" collapsed="false">
      <c r="A974" s="8" t="n">
        <v>146</v>
      </c>
      <c r="B974" s="8" t="s">
        <v>1569</v>
      </c>
    </row>
    <row r="975" customFormat="false" ht="15" hidden="false" customHeight="false" outlineLevel="0" collapsed="false">
      <c r="A975" s="8" t="n">
        <v>188</v>
      </c>
      <c r="B975" s="8" t="s">
        <v>1569</v>
      </c>
    </row>
    <row r="976" customFormat="false" ht="15" hidden="false" customHeight="false" outlineLevel="0" collapsed="false">
      <c r="A976" s="8" t="n">
        <v>33</v>
      </c>
      <c r="B976" s="8" t="s">
        <v>1570</v>
      </c>
    </row>
    <row r="977" customFormat="false" ht="15" hidden="false" customHeight="false" outlineLevel="0" collapsed="false">
      <c r="A977" s="8" t="n">
        <v>79</v>
      </c>
      <c r="B977" s="8" t="s">
        <v>1570</v>
      </c>
    </row>
    <row r="978" customFormat="false" ht="15" hidden="false" customHeight="false" outlineLevel="0" collapsed="false">
      <c r="A978" s="8" t="n">
        <v>89</v>
      </c>
      <c r="B978" s="8" t="s">
        <v>1570</v>
      </c>
    </row>
    <row r="979" customFormat="false" ht="15" hidden="false" customHeight="false" outlineLevel="0" collapsed="false">
      <c r="A979" s="8" t="n">
        <v>96</v>
      </c>
      <c r="B979" s="8" t="s">
        <v>1570</v>
      </c>
    </row>
    <row r="980" customFormat="false" ht="15" hidden="false" customHeight="false" outlineLevel="0" collapsed="false">
      <c r="A980" s="8" t="n">
        <v>104</v>
      </c>
      <c r="B980" s="8" t="s">
        <v>1570</v>
      </c>
    </row>
    <row r="981" customFormat="false" ht="15" hidden="false" customHeight="false" outlineLevel="0" collapsed="false">
      <c r="A981" s="8" t="n">
        <v>118</v>
      </c>
      <c r="B981" s="8" t="s">
        <v>1570</v>
      </c>
    </row>
    <row r="982" customFormat="false" ht="15" hidden="false" customHeight="false" outlineLevel="0" collapsed="false">
      <c r="A982" s="8" t="n">
        <v>135</v>
      </c>
      <c r="B982" s="8" t="s">
        <v>1570</v>
      </c>
    </row>
    <row r="983" customFormat="false" ht="15" hidden="false" customHeight="false" outlineLevel="0" collapsed="false">
      <c r="A983" s="8" t="n">
        <v>157</v>
      </c>
      <c r="B983" s="8" t="s">
        <v>1570</v>
      </c>
    </row>
    <row r="984" customFormat="false" ht="15" hidden="false" customHeight="false" outlineLevel="0" collapsed="false">
      <c r="A984" s="8" t="n">
        <v>3</v>
      </c>
      <c r="B984" s="8" t="s">
        <v>1571</v>
      </c>
    </row>
    <row r="985" customFormat="false" ht="15" hidden="false" customHeight="false" outlineLevel="0" collapsed="false">
      <c r="A985" s="8" t="n">
        <v>7</v>
      </c>
      <c r="B985" s="8" t="s">
        <v>1571</v>
      </c>
    </row>
    <row r="986" customFormat="false" ht="15" hidden="false" customHeight="false" outlineLevel="0" collapsed="false">
      <c r="A986" s="8" t="n">
        <v>8</v>
      </c>
      <c r="B986" s="8" t="s">
        <v>1571</v>
      </c>
    </row>
    <row r="987" customFormat="false" ht="15" hidden="false" customHeight="false" outlineLevel="0" collapsed="false">
      <c r="A987" s="8" t="n">
        <v>13</v>
      </c>
      <c r="B987" s="8" t="s">
        <v>1571</v>
      </c>
    </row>
    <row r="988" customFormat="false" ht="15" hidden="false" customHeight="false" outlineLevel="0" collapsed="false">
      <c r="A988" s="8" t="n">
        <v>14</v>
      </c>
      <c r="B988" s="8" t="s">
        <v>1571</v>
      </c>
    </row>
    <row r="989" customFormat="false" ht="15" hidden="false" customHeight="false" outlineLevel="0" collapsed="false">
      <c r="A989" s="8" t="n">
        <v>15</v>
      </c>
      <c r="B989" s="8" t="s">
        <v>1571</v>
      </c>
    </row>
    <row r="990" customFormat="false" ht="15" hidden="false" customHeight="false" outlineLevel="0" collapsed="false">
      <c r="A990" s="8" t="n">
        <v>17</v>
      </c>
      <c r="B990" s="8" t="s">
        <v>1571</v>
      </c>
    </row>
    <row r="991" customFormat="false" ht="15" hidden="false" customHeight="false" outlineLevel="0" collapsed="false">
      <c r="A991" s="8" t="n">
        <v>21</v>
      </c>
      <c r="B991" s="8" t="s">
        <v>1571</v>
      </c>
    </row>
    <row r="992" customFormat="false" ht="15" hidden="false" customHeight="false" outlineLevel="0" collapsed="false">
      <c r="A992" s="8" t="n">
        <v>25</v>
      </c>
      <c r="B992" s="8" t="s">
        <v>1571</v>
      </c>
    </row>
    <row r="993" customFormat="false" ht="15" hidden="false" customHeight="false" outlineLevel="0" collapsed="false">
      <c r="A993" s="8" t="n">
        <v>26</v>
      </c>
      <c r="B993" s="8" t="s">
        <v>1571</v>
      </c>
    </row>
    <row r="994" customFormat="false" ht="15" hidden="false" customHeight="false" outlineLevel="0" collapsed="false">
      <c r="A994" s="8" t="n">
        <v>27</v>
      </c>
      <c r="B994" s="8" t="s">
        <v>1571</v>
      </c>
    </row>
    <row r="995" customFormat="false" ht="15" hidden="false" customHeight="false" outlineLevel="0" collapsed="false">
      <c r="A995" s="8" t="n">
        <v>28</v>
      </c>
      <c r="B995" s="8" t="s">
        <v>1571</v>
      </c>
    </row>
    <row r="996" customFormat="false" ht="15" hidden="false" customHeight="false" outlineLevel="0" collapsed="false">
      <c r="A996" s="8" t="n">
        <v>29</v>
      </c>
      <c r="B996" s="8" t="s">
        <v>1571</v>
      </c>
    </row>
    <row r="997" customFormat="false" ht="15" hidden="false" customHeight="false" outlineLevel="0" collapsed="false">
      <c r="A997" s="8" t="n">
        <v>31</v>
      </c>
      <c r="B997" s="8" t="s">
        <v>1571</v>
      </c>
    </row>
    <row r="998" customFormat="false" ht="15" hidden="false" customHeight="false" outlineLevel="0" collapsed="false">
      <c r="A998" s="8" t="n">
        <v>33</v>
      </c>
      <c r="B998" s="8" t="s">
        <v>1571</v>
      </c>
    </row>
    <row r="999" customFormat="false" ht="15" hidden="false" customHeight="false" outlineLevel="0" collapsed="false">
      <c r="A999" s="8" t="n">
        <v>34</v>
      </c>
      <c r="B999" s="8" t="s">
        <v>1571</v>
      </c>
    </row>
    <row r="1000" customFormat="false" ht="15" hidden="false" customHeight="false" outlineLevel="0" collapsed="false">
      <c r="A1000" s="8" t="n">
        <v>38</v>
      </c>
      <c r="B1000" s="8" t="s">
        <v>1571</v>
      </c>
    </row>
    <row r="1001" customFormat="false" ht="15" hidden="false" customHeight="false" outlineLevel="0" collapsed="false">
      <c r="A1001" s="8" t="n">
        <v>41</v>
      </c>
      <c r="B1001" s="8" t="s">
        <v>1571</v>
      </c>
    </row>
    <row r="1002" customFormat="false" ht="15" hidden="false" customHeight="false" outlineLevel="0" collapsed="false">
      <c r="A1002" s="8" t="n">
        <v>46</v>
      </c>
      <c r="B1002" s="8" t="s">
        <v>1571</v>
      </c>
    </row>
    <row r="1003" customFormat="false" ht="15" hidden="false" customHeight="false" outlineLevel="0" collapsed="false">
      <c r="A1003" s="8" t="n">
        <v>47</v>
      </c>
      <c r="B1003" s="8" t="s">
        <v>1571</v>
      </c>
    </row>
    <row r="1004" customFormat="false" ht="15" hidden="false" customHeight="false" outlineLevel="0" collapsed="false">
      <c r="A1004" s="8" t="n">
        <v>49</v>
      </c>
      <c r="B1004" s="8" t="s">
        <v>1571</v>
      </c>
    </row>
    <row r="1005" customFormat="false" ht="15" hidden="false" customHeight="false" outlineLevel="0" collapsed="false">
      <c r="A1005" s="8" t="n">
        <v>50</v>
      </c>
      <c r="B1005" s="8" t="s">
        <v>1571</v>
      </c>
    </row>
    <row r="1006" customFormat="false" ht="15" hidden="false" customHeight="false" outlineLevel="0" collapsed="false">
      <c r="A1006" s="8" t="n">
        <v>51</v>
      </c>
      <c r="B1006" s="8" t="s">
        <v>1571</v>
      </c>
    </row>
    <row r="1007" customFormat="false" ht="15" hidden="false" customHeight="false" outlineLevel="0" collapsed="false">
      <c r="A1007" s="8" t="n">
        <v>60</v>
      </c>
      <c r="B1007" s="8" t="s">
        <v>1571</v>
      </c>
    </row>
    <row r="1008" customFormat="false" ht="15" hidden="false" customHeight="false" outlineLevel="0" collapsed="false">
      <c r="A1008" s="8" t="n">
        <v>63</v>
      </c>
      <c r="B1008" s="8" t="s">
        <v>1571</v>
      </c>
    </row>
    <row r="1009" customFormat="false" ht="15" hidden="false" customHeight="false" outlineLevel="0" collapsed="false">
      <c r="A1009" s="8" t="n">
        <v>69</v>
      </c>
      <c r="B1009" s="8" t="s">
        <v>1571</v>
      </c>
    </row>
    <row r="1010" customFormat="false" ht="15" hidden="false" customHeight="false" outlineLevel="0" collapsed="false">
      <c r="A1010" s="8" t="n">
        <v>71</v>
      </c>
      <c r="B1010" s="8" t="s">
        <v>1571</v>
      </c>
    </row>
    <row r="1011" customFormat="false" ht="15" hidden="false" customHeight="false" outlineLevel="0" collapsed="false">
      <c r="A1011" s="8" t="n">
        <v>77</v>
      </c>
      <c r="B1011" s="8" t="s">
        <v>1571</v>
      </c>
    </row>
    <row r="1012" customFormat="false" ht="15" hidden="false" customHeight="false" outlineLevel="0" collapsed="false">
      <c r="A1012" s="8" t="n">
        <v>87</v>
      </c>
      <c r="B1012" s="8" t="s">
        <v>1571</v>
      </c>
    </row>
    <row r="1013" customFormat="false" ht="15" hidden="false" customHeight="false" outlineLevel="0" collapsed="false">
      <c r="A1013" s="8" t="n">
        <v>88</v>
      </c>
      <c r="B1013" s="8" t="s">
        <v>1571</v>
      </c>
    </row>
    <row r="1014" customFormat="false" ht="15" hidden="false" customHeight="false" outlineLevel="0" collapsed="false">
      <c r="A1014" s="8" t="n">
        <v>93</v>
      </c>
      <c r="B1014" s="8" t="s">
        <v>1571</v>
      </c>
    </row>
    <row r="1015" customFormat="false" ht="15" hidden="false" customHeight="false" outlineLevel="0" collapsed="false">
      <c r="A1015" s="8" t="n">
        <v>102</v>
      </c>
      <c r="B1015" s="8" t="s">
        <v>1571</v>
      </c>
    </row>
    <row r="1016" customFormat="false" ht="15" hidden="false" customHeight="false" outlineLevel="0" collapsed="false">
      <c r="A1016" s="8" t="n">
        <v>114</v>
      </c>
      <c r="B1016" s="8" t="s">
        <v>1571</v>
      </c>
    </row>
    <row r="1017" customFormat="false" ht="15" hidden="false" customHeight="false" outlineLevel="0" collapsed="false">
      <c r="A1017" s="8" t="n">
        <v>119</v>
      </c>
      <c r="B1017" s="8" t="s">
        <v>1571</v>
      </c>
    </row>
    <row r="1018" customFormat="false" ht="15" hidden="false" customHeight="false" outlineLevel="0" collapsed="false">
      <c r="A1018" s="8" t="n">
        <v>127</v>
      </c>
      <c r="B1018" s="8" t="s">
        <v>1571</v>
      </c>
    </row>
    <row r="1019" customFormat="false" ht="15" hidden="false" customHeight="false" outlineLevel="0" collapsed="false">
      <c r="A1019" s="8" t="n">
        <v>128</v>
      </c>
      <c r="B1019" s="8" t="s">
        <v>1571</v>
      </c>
    </row>
    <row r="1020" customFormat="false" ht="15" hidden="false" customHeight="false" outlineLevel="0" collapsed="false">
      <c r="A1020" s="8" t="n">
        <v>132</v>
      </c>
      <c r="B1020" s="8" t="s">
        <v>1571</v>
      </c>
    </row>
    <row r="1021" customFormat="false" ht="15" hidden="false" customHeight="false" outlineLevel="0" collapsed="false">
      <c r="A1021" s="8" t="n">
        <v>133</v>
      </c>
      <c r="B1021" s="8" t="s">
        <v>1571</v>
      </c>
    </row>
    <row r="1022" customFormat="false" ht="15" hidden="false" customHeight="false" outlineLevel="0" collapsed="false">
      <c r="A1022" s="8" t="n">
        <v>140</v>
      </c>
      <c r="B1022" s="8" t="s">
        <v>1571</v>
      </c>
    </row>
    <row r="1023" customFormat="false" ht="15" hidden="false" customHeight="false" outlineLevel="0" collapsed="false">
      <c r="A1023" s="8" t="n">
        <v>141</v>
      </c>
      <c r="B1023" s="8" t="s">
        <v>1571</v>
      </c>
    </row>
    <row r="1024" customFormat="false" ht="15" hidden="false" customHeight="false" outlineLevel="0" collapsed="false">
      <c r="A1024" s="8" t="n">
        <v>144</v>
      </c>
      <c r="B1024" s="8" t="s">
        <v>1571</v>
      </c>
    </row>
    <row r="1025" customFormat="false" ht="15" hidden="false" customHeight="false" outlineLevel="0" collapsed="false">
      <c r="A1025" s="8" t="n">
        <v>145</v>
      </c>
      <c r="B1025" s="8" t="s">
        <v>1571</v>
      </c>
    </row>
    <row r="1026" customFormat="false" ht="15" hidden="false" customHeight="false" outlineLevel="0" collapsed="false">
      <c r="A1026" s="8" t="n">
        <v>146</v>
      </c>
      <c r="B1026" s="8" t="s">
        <v>1571</v>
      </c>
    </row>
    <row r="1027" customFormat="false" ht="15" hidden="false" customHeight="false" outlineLevel="0" collapsed="false">
      <c r="A1027" s="8" t="n">
        <v>148</v>
      </c>
      <c r="B1027" s="8" t="s">
        <v>1571</v>
      </c>
    </row>
    <row r="1028" customFormat="false" ht="15" hidden="false" customHeight="false" outlineLevel="0" collapsed="false">
      <c r="A1028" s="8" t="n">
        <v>151</v>
      </c>
      <c r="B1028" s="8" t="s">
        <v>1571</v>
      </c>
    </row>
    <row r="1029" customFormat="false" ht="15" hidden="false" customHeight="false" outlineLevel="0" collapsed="false">
      <c r="A1029" s="8" t="n">
        <v>159</v>
      </c>
      <c r="B1029" s="8" t="s">
        <v>1571</v>
      </c>
    </row>
    <row r="1030" customFormat="false" ht="15" hidden="false" customHeight="false" outlineLevel="0" collapsed="false">
      <c r="A1030" s="8" t="n">
        <v>167</v>
      </c>
      <c r="B1030" s="8" t="s">
        <v>1571</v>
      </c>
    </row>
    <row r="1031" customFormat="false" ht="15" hidden="false" customHeight="false" outlineLevel="0" collapsed="false">
      <c r="A1031" s="8" t="n">
        <v>213</v>
      </c>
      <c r="B1031" s="8" t="s">
        <v>1571</v>
      </c>
    </row>
    <row r="1032" customFormat="false" ht="15" hidden="false" customHeight="false" outlineLevel="0" collapsed="false">
      <c r="A1032" s="8" t="n">
        <v>222</v>
      </c>
      <c r="B1032" s="8" t="s">
        <v>1571</v>
      </c>
    </row>
    <row r="1033" customFormat="false" ht="15" hidden="false" customHeight="false" outlineLevel="0" collapsed="false">
      <c r="A1033" s="8" t="n">
        <v>4</v>
      </c>
      <c r="B1033" s="8" t="s">
        <v>1572</v>
      </c>
    </row>
    <row r="1034" customFormat="false" ht="15" hidden="false" customHeight="false" outlineLevel="0" collapsed="false">
      <c r="A1034" s="8" t="n">
        <v>64</v>
      </c>
      <c r="B1034" s="8" t="s">
        <v>1572</v>
      </c>
    </row>
    <row r="1035" customFormat="false" ht="15" hidden="false" customHeight="false" outlineLevel="0" collapsed="false">
      <c r="A1035" s="8" t="n">
        <v>15</v>
      </c>
      <c r="B1035" s="8" t="s">
        <v>1573</v>
      </c>
    </row>
    <row r="1036" customFormat="false" ht="15" hidden="false" customHeight="false" outlineLevel="0" collapsed="false">
      <c r="A1036" s="8" t="n">
        <v>106</v>
      </c>
      <c r="B1036" s="8" t="s">
        <v>1573</v>
      </c>
    </row>
    <row r="1037" customFormat="false" ht="15" hidden="false" customHeight="false" outlineLevel="0" collapsed="false">
      <c r="A1037" s="8" t="n">
        <v>114</v>
      </c>
      <c r="B1037" s="8" t="s">
        <v>1573</v>
      </c>
    </row>
    <row r="1038" customFormat="false" ht="15" hidden="false" customHeight="false" outlineLevel="0" collapsed="false">
      <c r="A1038" s="8" t="n">
        <v>128</v>
      </c>
      <c r="B1038" s="8" t="s">
        <v>1573</v>
      </c>
    </row>
    <row r="1039" customFormat="false" ht="15" hidden="false" customHeight="false" outlineLevel="0" collapsed="false">
      <c r="A1039" s="8" t="n">
        <v>19</v>
      </c>
      <c r="B1039" s="8" t="s">
        <v>1574</v>
      </c>
    </row>
    <row r="1040" customFormat="false" ht="15" hidden="false" customHeight="false" outlineLevel="0" collapsed="false">
      <c r="A1040" s="8" t="n">
        <v>88</v>
      </c>
      <c r="B1040" s="8" t="s">
        <v>1574</v>
      </c>
    </row>
    <row r="1041" customFormat="false" ht="15" hidden="false" customHeight="false" outlineLevel="0" collapsed="false">
      <c r="A1041" s="8" t="n">
        <v>225</v>
      </c>
      <c r="B1041" s="8" t="s">
        <v>1574</v>
      </c>
    </row>
    <row r="1042" customFormat="false" ht="15" hidden="false" customHeight="false" outlineLevel="0" collapsed="false">
      <c r="A1042" s="8" t="n">
        <v>17</v>
      </c>
      <c r="B1042" s="8" t="s">
        <v>1575</v>
      </c>
    </row>
    <row r="1043" customFormat="false" ht="15" hidden="false" customHeight="false" outlineLevel="0" collapsed="false">
      <c r="A1043" s="8" t="n">
        <v>21</v>
      </c>
      <c r="B1043" s="8" t="s">
        <v>1575</v>
      </c>
    </row>
    <row r="1044" customFormat="false" ht="15" hidden="false" customHeight="false" outlineLevel="0" collapsed="false">
      <c r="A1044" s="8" t="n">
        <v>25</v>
      </c>
      <c r="B1044" s="8" t="s">
        <v>1575</v>
      </c>
    </row>
    <row r="1045" customFormat="false" ht="15" hidden="false" customHeight="false" outlineLevel="0" collapsed="false">
      <c r="A1045" s="8" t="n">
        <v>28</v>
      </c>
      <c r="B1045" s="8" t="s">
        <v>1575</v>
      </c>
    </row>
    <row r="1046" customFormat="false" ht="15" hidden="false" customHeight="false" outlineLevel="0" collapsed="false">
      <c r="A1046" s="8" t="n">
        <v>29</v>
      </c>
      <c r="B1046" s="8" t="s">
        <v>1575</v>
      </c>
    </row>
    <row r="1047" customFormat="false" ht="15" hidden="false" customHeight="false" outlineLevel="0" collapsed="false">
      <c r="A1047" s="8" t="n">
        <v>38</v>
      </c>
      <c r="B1047" s="8" t="s">
        <v>1575</v>
      </c>
    </row>
    <row r="1048" customFormat="false" ht="15" hidden="false" customHeight="false" outlineLevel="0" collapsed="false">
      <c r="A1048" s="8" t="n">
        <v>39</v>
      </c>
      <c r="B1048" s="8" t="s">
        <v>1575</v>
      </c>
    </row>
    <row r="1049" customFormat="false" ht="15" hidden="false" customHeight="false" outlineLevel="0" collapsed="false">
      <c r="A1049" s="8" t="n">
        <v>47</v>
      </c>
      <c r="B1049" s="8" t="s">
        <v>1575</v>
      </c>
    </row>
    <row r="1050" customFormat="false" ht="15" hidden="false" customHeight="false" outlineLevel="0" collapsed="false">
      <c r="A1050" s="8" t="n">
        <v>51</v>
      </c>
      <c r="B1050" s="8" t="s">
        <v>1575</v>
      </c>
    </row>
    <row r="1051" customFormat="false" ht="15" hidden="false" customHeight="false" outlineLevel="0" collapsed="false">
      <c r="A1051" s="8" t="n">
        <v>60</v>
      </c>
      <c r="B1051" s="8" t="s">
        <v>1575</v>
      </c>
    </row>
    <row r="1052" customFormat="false" ht="15" hidden="false" customHeight="false" outlineLevel="0" collapsed="false">
      <c r="A1052" s="8" t="n">
        <v>85</v>
      </c>
      <c r="B1052" s="8" t="s">
        <v>1575</v>
      </c>
    </row>
    <row r="1053" customFormat="false" ht="15" hidden="false" customHeight="false" outlineLevel="0" collapsed="false">
      <c r="A1053" s="8" t="n">
        <v>88</v>
      </c>
      <c r="B1053" s="8" t="s">
        <v>1575</v>
      </c>
    </row>
    <row r="1054" customFormat="false" ht="15" hidden="false" customHeight="false" outlineLevel="0" collapsed="false">
      <c r="A1054" s="8" t="n">
        <v>100</v>
      </c>
      <c r="B1054" s="8" t="s">
        <v>1575</v>
      </c>
    </row>
    <row r="1055" customFormat="false" ht="15" hidden="false" customHeight="false" outlineLevel="0" collapsed="false">
      <c r="A1055" s="8" t="n">
        <v>102</v>
      </c>
      <c r="B1055" s="8" t="s">
        <v>1575</v>
      </c>
    </row>
    <row r="1056" customFormat="false" ht="15" hidden="false" customHeight="false" outlineLevel="0" collapsed="false">
      <c r="A1056" s="8" t="n">
        <v>119</v>
      </c>
      <c r="B1056" s="8" t="s">
        <v>1575</v>
      </c>
    </row>
    <row r="1057" customFormat="false" ht="15" hidden="false" customHeight="false" outlineLevel="0" collapsed="false">
      <c r="A1057" s="8" t="n">
        <v>132</v>
      </c>
      <c r="B1057" s="8" t="s">
        <v>1575</v>
      </c>
    </row>
    <row r="1058" customFormat="false" ht="15" hidden="false" customHeight="false" outlineLevel="0" collapsed="false">
      <c r="A1058" s="8" t="n">
        <v>144</v>
      </c>
      <c r="B1058" s="8" t="s">
        <v>1575</v>
      </c>
    </row>
    <row r="1059" customFormat="false" ht="15" hidden="false" customHeight="false" outlineLevel="0" collapsed="false">
      <c r="A1059" s="8" t="n">
        <v>148</v>
      </c>
      <c r="B1059" s="8" t="s">
        <v>1575</v>
      </c>
    </row>
    <row r="1060" customFormat="false" ht="15" hidden="false" customHeight="false" outlineLevel="0" collapsed="false">
      <c r="A1060" s="8" t="n">
        <v>167</v>
      </c>
      <c r="B1060" s="8" t="s">
        <v>1575</v>
      </c>
    </row>
    <row r="1061" customFormat="false" ht="15" hidden="false" customHeight="false" outlineLevel="0" collapsed="false">
      <c r="A1061" s="8" t="n">
        <v>213</v>
      </c>
      <c r="B1061" s="8" t="s">
        <v>1575</v>
      </c>
    </row>
    <row r="1062" customFormat="false" ht="15" hidden="false" customHeight="false" outlineLevel="0" collapsed="false">
      <c r="A1062" s="8" t="n">
        <v>30</v>
      </c>
      <c r="B1062" s="8" t="s">
        <v>1576</v>
      </c>
    </row>
    <row r="1063" customFormat="false" ht="15" hidden="false" customHeight="false" outlineLevel="0" collapsed="false">
      <c r="A1063" s="8" t="n">
        <v>95</v>
      </c>
      <c r="B1063" s="8" t="s">
        <v>1576</v>
      </c>
    </row>
    <row r="1064" customFormat="false" ht="15" hidden="false" customHeight="false" outlineLevel="0" collapsed="false">
      <c r="A1064" s="8" t="n">
        <v>152</v>
      </c>
      <c r="B1064" s="8" t="s">
        <v>1576</v>
      </c>
    </row>
    <row r="1065" customFormat="false" ht="15" hidden="false" customHeight="false" outlineLevel="0" collapsed="false">
      <c r="A1065" s="8" t="n">
        <v>1</v>
      </c>
      <c r="B1065" s="8" t="s">
        <v>1577</v>
      </c>
    </row>
    <row r="1066" customFormat="false" ht="15" hidden="false" customHeight="false" outlineLevel="0" collapsed="false">
      <c r="A1066" s="8" t="n">
        <v>1</v>
      </c>
      <c r="B1066" s="8" t="s">
        <v>1578</v>
      </c>
    </row>
    <row r="1067" customFormat="false" ht="15" hidden="false" customHeight="false" outlineLevel="0" collapsed="false">
      <c r="A1067" s="8" t="n">
        <v>1</v>
      </c>
      <c r="B1067" s="8" t="s">
        <v>1579</v>
      </c>
    </row>
    <row r="1068" customFormat="false" ht="15" hidden="false" customHeight="false" outlineLevel="0" collapsed="false">
      <c r="A1068" s="8" t="n">
        <v>135</v>
      </c>
      <c r="B1068" s="8" t="s">
        <v>1579</v>
      </c>
    </row>
    <row r="1069" customFormat="false" ht="15" hidden="false" customHeight="false" outlineLevel="0" collapsed="false">
      <c r="A1069" s="8" t="n">
        <v>157</v>
      </c>
      <c r="B1069" s="8" t="s">
        <v>1579</v>
      </c>
    </row>
    <row r="1070" customFormat="false" ht="15" hidden="false" customHeight="false" outlineLevel="0" collapsed="false">
      <c r="A1070" s="8" t="n">
        <v>229</v>
      </c>
      <c r="B1070" s="8" t="s">
        <v>1580</v>
      </c>
    </row>
    <row r="1071" customFormat="false" ht="15" hidden="false" customHeight="false" outlineLevel="0" collapsed="false">
      <c r="A1071" s="8" t="n">
        <v>33</v>
      </c>
      <c r="B1071" s="8" t="s">
        <v>1581</v>
      </c>
    </row>
    <row r="1072" customFormat="false" ht="15" hidden="false" customHeight="false" outlineLevel="0" collapsed="false">
      <c r="A1072" s="8" t="n">
        <v>40</v>
      </c>
      <c r="B1072" s="8" t="s">
        <v>1581</v>
      </c>
    </row>
    <row r="1073" customFormat="false" ht="15" hidden="false" customHeight="false" outlineLevel="0" collapsed="false">
      <c r="A1073" s="8" t="n">
        <v>89</v>
      </c>
      <c r="B1073" s="8" t="s">
        <v>1581</v>
      </c>
    </row>
    <row r="1074" customFormat="false" ht="15" hidden="false" customHeight="false" outlineLevel="0" collapsed="false">
      <c r="A1074" s="8" t="n">
        <v>139</v>
      </c>
      <c r="B1074" s="8" t="s">
        <v>1581</v>
      </c>
    </row>
    <row r="1075" customFormat="false" ht="15" hidden="false" customHeight="false" outlineLevel="0" collapsed="false">
      <c r="A1075" s="8" t="n">
        <v>229</v>
      </c>
      <c r="B1075" s="8" t="s">
        <v>1581</v>
      </c>
    </row>
    <row r="1076" customFormat="false" ht="15" hidden="false" customHeight="false" outlineLevel="0" collapsed="false">
      <c r="A1076" s="8" t="n">
        <v>6</v>
      </c>
      <c r="B1076" s="8" t="s">
        <v>1582</v>
      </c>
    </row>
    <row r="1077" customFormat="false" ht="15" hidden="false" customHeight="false" outlineLevel="0" collapsed="false">
      <c r="A1077" s="8" t="n">
        <v>13</v>
      </c>
      <c r="B1077" s="8" t="s">
        <v>1582</v>
      </c>
    </row>
    <row r="1078" customFormat="false" ht="15" hidden="false" customHeight="false" outlineLevel="0" collapsed="false">
      <c r="A1078" s="8" t="n">
        <v>15</v>
      </c>
      <c r="B1078" s="8" t="s">
        <v>1582</v>
      </c>
    </row>
    <row r="1079" customFormat="false" ht="15" hidden="false" customHeight="false" outlineLevel="0" collapsed="false">
      <c r="A1079" s="8" t="n">
        <v>18</v>
      </c>
      <c r="B1079" s="8" t="s">
        <v>1582</v>
      </c>
    </row>
    <row r="1080" customFormat="false" ht="15" hidden="false" customHeight="false" outlineLevel="0" collapsed="false">
      <c r="A1080" s="8" t="n">
        <v>19</v>
      </c>
      <c r="B1080" s="8" t="s">
        <v>1582</v>
      </c>
    </row>
    <row r="1081" customFormat="false" ht="15" hidden="false" customHeight="false" outlineLevel="0" collapsed="false">
      <c r="A1081" s="8" t="n">
        <v>23</v>
      </c>
      <c r="B1081" s="8" t="s">
        <v>1582</v>
      </c>
    </row>
    <row r="1082" customFormat="false" ht="15" hidden="false" customHeight="false" outlineLevel="0" collapsed="false">
      <c r="A1082" s="8" t="n">
        <v>28</v>
      </c>
      <c r="B1082" s="8" t="s">
        <v>1582</v>
      </c>
    </row>
    <row r="1083" customFormat="false" ht="15" hidden="false" customHeight="false" outlineLevel="0" collapsed="false">
      <c r="A1083" s="8" t="n">
        <v>29</v>
      </c>
      <c r="B1083" s="8" t="s">
        <v>1582</v>
      </c>
    </row>
    <row r="1084" customFormat="false" ht="15" hidden="false" customHeight="false" outlineLevel="0" collapsed="false">
      <c r="A1084" s="8" t="n">
        <v>39</v>
      </c>
      <c r="B1084" s="8" t="s">
        <v>1582</v>
      </c>
    </row>
    <row r="1085" customFormat="false" ht="15" hidden="false" customHeight="false" outlineLevel="0" collapsed="false">
      <c r="A1085" s="8" t="n">
        <v>40</v>
      </c>
      <c r="B1085" s="8" t="s">
        <v>1582</v>
      </c>
    </row>
    <row r="1086" customFormat="false" ht="15" hidden="false" customHeight="false" outlineLevel="0" collapsed="false">
      <c r="A1086" s="8" t="n">
        <v>66</v>
      </c>
      <c r="B1086" s="8" t="s">
        <v>1582</v>
      </c>
    </row>
    <row r="1087" customFormat="false" ht="15" hidden="false" customHeight="false" outlineLevel="0" collapsed="false">
      <c r="A1087" s="8" t="n">
        <v>73</v>
      </c>
      <c r="B1087" s="8" t="s">
        <v>1582</v>
      </c>
    </row>
    <row r="1088" customFormat="false" ht="15" hidden="false" customHeight="false" outlineLevel="0" collapsed="false">
      <c r="A1088" s="8" t="n">
        <v>103</v>
      </c>
      <c r="B1088" s="8" t="s">
        <v>1582</v>
      </c>
    </row>
    <row r="1089" customFormat="false" ht="15" hidden="false" customHeight="false" outlineLevel="0" collapsed="false">
      <c r="A1089" s="8" t="n">
        <v>109</v>
      </c>
      <c r="B1089" s="8" t="s">
        <v>1582</v>
      </c>
    </row>
    <row r="1090" customFormat="false" ht="15" hidden="false" customHeight="false" outlineLevel="0" collapsed="false">
      <c r="A1090" s="8" t="n">
        <v>127</v>
      </c>
      <c r="B1090" s="8" t="s">
        <v>1582</v>
      </c>
    </row>
    <row r="1091" customFormat="false" ht="15" hidden="false" customHeight="false" outlineLevel="0" collapsed="false">
      <c r="A1091" s="8" t="n">
        <v>132</v>
      </c>
      <c r="B1091" s="8" t="s">
        <v>1582</v>
      </c>
    </row>
    <row r="1092" customFormat="false" ht="15" hidden="false" customHeight="false" outlineLevel="0" collapsed="false">
      <c r="A1092" s="8" t="n">
        <v>137</v>
      </c>
      <c r="B1092" s="8" t="s">
        <v>1582</v>
      </c>
    </row>
    <row r="1093" customFormat="false" ht="15" hidden="false" customHeight="false" outlineLevel="0" collapsed="false">
      <c r="A1093" s="8" t="n">
        <v>149</v>
      </c>
      <c r="B1093" s="8" t="s">
        <v>1582</v>
      </c>
    </row>
    <row r="1094" customFormat="false" ht="15" hidden="false" customHeight="false" outlineLevel="0" collapsed="false">
      <c r="A1094" s="8" t="n">
        <v>155</v>
      </c>
      <c r="B1094" s="8" t="s">
        <v>1582</v>
      </c>
    </row>
    <row r="1095" customFormat="false" ht="15" hidden="false" customHeight="false" outlineLevel="0" collapsed="false">
      <c r="A1095" s="8" t="n">
        <v>164</v>
      </c>
      <c r="B1095" s="8" t="s">
        <v>1582</v>
      </c>
    </row>
    <row r="1096" customFormat="false" ht="15" hidden="false" customHeight="false" outlineLevel="0" collapsed="false">
      <c r="A1096" s="8" t="n">
        <v>196</v>
      </c>
      <c r="B1096" s="8" t="s">
        <v>1582</v>
      </c>
    </row>
    <row r="1097" customFormat="false" ht="15" hidden="false" customHeight="false" outlineLevel="0" collapsed="false">
      <c r="A1097" s="8" t="n">
        <v>225</v>
      </c>
      <c r="B1097" s="8" t="s">
        <v>1582</v>
      </c>
    </row>
    <row r="1098" customFormat="false" ht="15" hidden="false" customHeight="false" outlineLevel="0" collapsed="false">
      <c r="A1098" s="8" t="n">
        <v>33</v>
      </c>
      <c r="B1098" s="8" t="s">
        <v>1583</v>
      </c>
    </row>
    <row r="1099" customFormat="false" ht="15" hidden="false" customHeight="false" outlineLevel="0" collapsed="false">
      <c r="A1099" s="8" t="n">
        <v>152</v>
      </c>
      <c r="B1099" s="8" t="s">
        <v>1583</v>
      </c>
    </row>
    <row r="1100" customFormat="false" ht="15" hidden="false" customHeight="false" outlineLevel="0" collapsed="false">
      <c r="A1100" s="8" t="n">
        <v>29</v>
      </c>
      <c r="B1100" s="8" t="s">
        <v>1584</v>
      </c>
    </row>
    <row r="1101" customFormat="false" ht="15" hidden="false" customHeight="false" outlineLevel="0" collapsed="false">
      <c r="A1101" s="8" t="n">
        <v>128</v>
      </c>
      <c r="B1101" s="8" t="s">
        <v>1584</v>
      </c>
    </row>
    <row r="1102" customFormat="false" ht="15" hidden="false" customHeight="false" outlineLevel="0" collapsed="false">
      <c r="A1102" s="8" t="n">
        <v>2</v>
      </c>
      <c r="B1102" s="8" t="s">
        <v>1585</v>
      </c>
    </row>
    <row r="1103" customFormat="false" ht="15" hidden="false" customHeight="false" outlineLevel="0" collapsed="false">
      <c r="A1103" s="8" t="n">
        <v>17</v>
      </c>
      <c r="B1103" s="8" t="s">
        <v>1585</v>
      </c>
    </row>
    <row r="1104" customFormat="false" ht="15" hidden="false" customHeight="false" outlineLevel="0" collapsed="false">
      <c r="A1104" s="8" t="n">
        <v>125</v>
      </c>
      <c r="B1104" s="8" t="s">
        <v>1585</v>
      </c>
    </row>
    <row r="1105" customFormat="false" ht="15" hidden="false" customHeight="false" outlineLevel="0" collapsed="false">
      <c r="A1105" s="8" t="n">
        <v>168</v>
      </c>
      <c r="B1105" s="8" t="s">
        <v>1585</v>
      </c>
    </row>
    <row r="1106" customFormat="false" ht="15" hidden="false" customHeight="false" outlineLevel="0" collapsed="false">
      <c r="A1106" s="8" t="n">
        <v>202</v>
      </c>
      <c r="B1106" s="8" t="s">
        <v>1585</v>
      </c>
    </row>
    <row r="1107" customFormat="false" ht="15" hidden="false" customHeight="false" outlineLevel="0" collapsed="false">
      <c r="A1107" s="8" t="n">
        <v>4</v>
      </c>
      <c r="B1107" s="8" t="s">
        <v>1586</v>
      </c>
    </row>
    <row r="1108" customFormat="false" ht="15" hidden="false" customHeight="false" outlineLevel="0" collapsed="false">
      <c r="A1108" s="8" t="n">
        <v>51</v>
      </c>
      <c r="B1108" s="8" t="s">
        <v>1586</v>
      </c>
    </row>
    <row r="1109" customFormat="false" ht="15" hidden="false" customHeight="false" outlineLevel="0" collapsed="false">
      <c r="A1109" s="8" t="n">
        <v>128</v>
      </c>
      <c r="B1109" s="8" t="s">
        <v>1586</v>
      </c>
    </row>
    <row r="1110" customFormat="false" ht="15" hidden="false" customHeight="false" outlineLevel="0" collapsed="false">
      <c r="A1110" s="8" t="n">
        <v>1</v>
      </c>
      <c r="B1110" s="8" t="s">
        <v>1587</v>
      </c>
    </row>
    <row r="1111" customFormat="false" ht="15" hidden="false" customHeight="false" outlineLevel="0" collapsed="false">
      <c r="A1111" s="8" t="n">
        <v>10</v>
      </c>
      <c r="B1111" s="8" t="s">
        <v>1587</v>
      </c>
    </row>
    <row r="1112" customFormat="false" ht="15" hidden="false" customHeight="false" outlineLevel="0" collapsed="false">
      <c r="A1112" s="8" t="n">
        <v>18</v>
      </c>
      <c r="B1112" s="8" t="s">
        <v>1587</v>
      </c>
    </row>
    <row r="1113" customFormat="false" ht="15" hidden="false" customHeight="false" outlineLevel="0" collapsed="false">
      <c r="A1113" s="8" t="n">
        <v>20</v>
      </c>
      <c r="B1113" s="8" t="s">
        <v>1587</v>
      </c>
    </row>
    <row r="1114" customFormat="false" ht="15" hidden="false" customHeight="false" outlineLevel="0" collapsed="false">
      <c r="A1114" s="8" t="n">
        <v>22</v>
      </c>
      <c r="B1114" s="8" t="s">
        <v>1587</v>
      </c>
    </row>
    <row r="1115" customFormat="false" ht="15" hidden="false" customHeight="false" outlineLevel="0" collapsed="false">
      <c r="A1115" s="8" t="n">
        <v>33</v>
      </c>
      <c r="B1115" s="8" t="s">
        <v>1587</v>
      </c>
    </row>
    <row r="1116" customFormat="false" ht="15" hidden="false" customHeight="false" outlineLevel="0" collapsed="false">
      <c r="A1116" s="8" t="n">
        <v>41</v>
      </c>
      <c r="B1116" s="8" t="s">
        <v>1587</v>
      </c>
    </row>
    <row r="1117" customFormat="false" ht="15" hidden="false" customHeight="false" outlineLevel="0" collapsed="false">
      <c r="A1117" s="8" t="n">
        <v>43</v>
      </c>
      <c r="B1117" s="8" t="s">
        <v>1587</v>
      </c>
    </row>
    <row r="1118" customFormat="false" ht="15" hidden="false" customHeight="false" outlineLevel="0" collapsed="false">
      <c r="A1118" s="8" t="n">
        <v>44</v>
      </c>
      <c r="B1118" s="8" t="s">
        <v>1587</v>
      </c>
    </row>
    <row r="1119" customFormat="false" ht="15" hidden="false" customHeight="false" outlineLevel="0" collapsed="false">
      <c r="A1119" s="8" t="n">
        <v>46</v>
      </c>
      <c r="B1119" s="8" t="s">
        <v>1587</v>
      </c>
    </row>
    <row r="1120" customFormat="false" ht="15" hidden="false" customHeight="false" outlineLevel="0" collapsed="false">
      <c r="A1120" s="8" t="n">
        <v>53</v>
      </c>
      <c r="B1120" s="8" t="s">
        <v>1587</v>
      </c>
    </row>
    <row r="1121" customFormat="false" ht="15" hidden="false" customHeight="false" outlineLevel="0" collapsed="false">
      <c r="A1121" s="8" t="n">
        <v>55</v>
      </c>
      <c r="B1121" s="8" t="s">
        <v>1587</v>
      </c>
    </row>
    <row r="1122" customFormat="false" ht="15" hidden="false" customHeight="false" outlineLevel="0" collapsed="false">
      <c r="A1122" s="8" t="n">
        <v>61</v>
      </c>
      <c r="B1122" s="8" t="s">
        <v>1587</v>
      </c>
    </row>
    <row r="1123" customFormat="false" ht="15" hidden="false" customHeight="false" outlineLevel="0" collapsed="false">
      <c r="A1123" s="8" t="n">
        <v>64</v>
      </c>
      <c r="B1123" s="8" t="s">
        <v>1587</v>
      </c>
    </row>
    <row r="1124" customFormat="false" ht="15" hidden="false" customHeight="false" outlineLevel="0" collapsed="false">
      <c r="A1124" s="8" t="n">
        <v>71</v>
      </c>
      <c r="B1124" s="8" t="s">
        <v>1587</v>
      </c>
    </row>
    <row r="1125" customFormat="false" ht="15" hidden="false" customHeight="false" outlineLevel="0" collapsed="false">
      <c r="A1125" s="8" t="n">
        <v>72</v>
      </c>
      <c r="B1125" s="8" t="s">
        <v>1587</v>
      </c>
    </row>
    <row r="1126" customFormat="false" ht="15" hidden="false" customHeight="false" outlineLevel="0" collapsed="false">
      <c r="A1126" s="8" t="n">
        <v>74</v>
      </c>
      <c r="B1126" s="8" t="s">
        <v>1587</v>
      </c>
    </row>
    <row r="1127" customFormat="false" ht="15" hidden="false" customHeight="false" outlineLevel="0" collapsed="false">
      <c r="A1127" s="8" t="n">
        <v>85</v>
      </c>
      <c r="B1127" s="8" t="s">
        <v>1587</v>
      </c>
    </row>
    <row r="1128" customFormat="false" ht="15" hidden="false" customHeight="false" outlineLevel="0" collapsed="false">
      <c r="A1128" s="8" t="n">
        <v>87</v>
      </c>
      <c r="B1128" s="8" t="s">
        <v>1587</v>
      </c>
    </row>
    <row r="1129" customFormat="false" ht="15" hidden="false" customHeight="false" outlineLevel="0" collapsed="false">
      <c r="A1129" s="8" t="n">
        <v>88</v>
      </c>
      <c r="B1129" s="8" t="s">
        <v>1587</v>
      </c>
    </row>
    <row r="1130" customFormat="false" ht="15" hidden="false" customHeight="false" outlineLevel="0" collapsed="false">
      <c r="A1130" s="8" t="n">
        <v>89</v>
      </c>
      <c r="B1130" s="8" t="s">
        <v>1587</v>
      </c>
    </row>
    <row r="1131" customFormat="false" ht="15" hidden="false" customHeight="false" outlineLevel="0" collapsed="false">
      <c r="A1131" s="8" t="n">
        <v>100</v>
      </c>
      <c r="B1131" s="8" t="s">
        <v>1587</v>
      </c>
    </row>
    <row r="1132" customFormat="false" ht="15" hidden="false" customHeight="false" outlineLevel="0" collapsed="false">
      <c r="A1132" s="8" t="n">
        <v>103</v>
      </c>
      <c r="B1132" s="8" t="s">
        <v>1587</v>
      </c>
    </row>
    <row r="1133" customFormat="false" ht="15" hidden="false" customHeight="false" outlineLevel="0" collapsed="false">
      <c r="A1133" s="8" t="n">
        <v>108</v>
      </c>
      <c r="B1133" s="8" t="s">
        <v>1587</v>
      </c>
    </row>
    <row r="1134" customFormat="false" ht="15" hidden="false" customHeight="false" outlineLevel="0" collapsed="false">
      <c r="A1134" s="8" t="n">
        <v>110</v>
      </c>
      <c r="B1134" s="8" t="s">
        <v>1587</v>
      </c>
    </row>
    <row r="1135" customFormat="false" ht="15" hidden="false" customHeight="false" outlineLevel="0" collapsed="false">
      <c r="A1135" s="8" t="n">
        <v>112</v>
      </c>
      <c r="B1135" s="8" t="s">
        <v>1587</v>
      </c>
    </row>
    <row r="1136" customFormat="false" ht="15" hidden="false" customHeight="false" outlineLevel="0" collapsed="false">
      <c r="A1136" s="8" t="n">
        <v>115</v>
      </c>
      <c r="B1136" s="8" t="s">
        <v>1587</v>
      </c>
    </row>
    <row r="1137" customFormat="false" ht="15" hidden="false" customHeight="false" outlineLevel="0" collapsed="false">
      <c r="A1137" s="8" t="n">
        <v>118</v>
      </c>
      <c r="B1137" s="8" t="s">
        <v>1587</v>
      </c>
    </row>
    <row r="1138" customFormat="false" ht="15" hidden="false" customHeight="false" outlineLevel="0" collapsed="false">
      <c r="A1138" s="8" t="n">
        <v>119</v>
      </c>
      <c r="B1138" s="8" t="s">
        <v>1587</v>
      </c>
    </row>
    <row r="1139" customFormat="false" ht="15" hidden="false" customHeight="false" outlineLevel="0" collapsed="false">
      <c r="A1139" s="8" t="n">
        <v>120</v>
      </c>
      <c r="B1139" s="8" t="s">
        <v>1587</v>
      </c>
    </row>
    <row r="1140" customFormat="false" ht="15" hidden="false" customHeight="false" outlineLevel="0" collapsed="false">
      <c r="A1140" s="8" t="n">
        <v>121</v>
      </c>
      <c r="B1140" s="8" t="s">
        <v>1587</v>
      </c>
    </row>
    <row r="1141" customFormat="false" ht="15" hidden="false" customHeight="false" outlineLevel="0" collapsed="false">
      <c r="A1141" s="8" t="n">
        <v>129</v>
      </c>
      <c r="B1141" s="8" t="s">
        <v>1587</v>
      </c>
    </row>
    <row r="1142" customFormat="false" ht="15" hidden="false" customHeight="false" outlineLevel="0" collapsed="false">
      <c r="A1142" s="8" t="n">
        <v>132</v>
      </c>
      <c r="B1142" s="8" t="s">
        <v>1587</v>
      </c>
    </row>
    <row r="1143" customFormat="false" ht="15" hidden="false" customHeight="false" outlineLevel="0" collapsed="false">
      <c r="A1143" s="8" t="n">
        <v>139</v>
      </c>
      <c r="B1143" s="8" t="s">
        <v>1587</v>
      </c>
    </row>
    <row r="1144" customFormat="false" ht="15" hidden="false" customHeight="false" outlineLevel="0" collapsed="false">
      <c r="A1144" s="8" t="n">
        <v>141</v>
      </c>
      <c r="B1144" s="8" t="s">
        <v>1587</v>
      </c>
    </row>
    <row r="1145" customFormat="false" ht="15" hidden="false" customHeight="false" outlineLevel="0" collapsed="false">
      <c r="A1145" s="8" t="n">
        <v>142</v>
      </c>
      <c r="B1145" s="8" t="s">
        <v>1587</v>
      </c>
    </row>
    <row r="1146" customFormat="false" ht="15" hidden="false" customHeight="false" outlineLevel="0" collapsed="false">
      <c r="A1146" s="8" t="n">
        <v>148</v>
      </c>
      <c r="B1146" s="8" t="s">
        <v>1587</v>
      </c>
    </row>
    <row r="1147" customFormat="false" ht="15" hidden="false" customHeight="false" outlineLevel="0" collapsed="false">
      <c r="A1147" s="8" t="n">
        <v>149</v>
      </c>
      <c r="B1147" s="8" t="s">
        <v>1587</v>
      </c>
    </row>
    <row r="1148" customFormat="false" ht="15" hidden="false" customHeight="false" outlineLevel="0" collapsed="false">
      <c r="A1148" s="8" t="n">
        <v>150</v>
      </c>
      <c r="B1148" s="8" t="s">
        <v>1587</v>
      </c>
    </row>
    <row r="1149" customFormat="false" ht="15" hidden="false" customHeight="false" outlineLevel="0" collapsed="false">
      <c r="A1149" s="8" t="n">
        <v>154</v>
      </c>
      <c r="B1149" s="8" t="s">
        <v>1587</v>
      </c>
    </row>
    <row r="1150" customFormat="false" ht="15" hidden="false" customHeight="false" outlineLevel="0" collapsed="false">
      <c r="A1150" s="8" t="n">
        <v>155</v>
      </c>
      <c r="B1150" s="8" t="s">
        <v>1587</v>
      </c>
    </row>
    <row r="1151" customFormat="false" ht="15" hidden="false" customHeight="false" outlineLevel="0" collapsed="false">
      <c r="A1151" s="8" t="n">
        <v>196</v>
      </c>
      <c r="B1151" s="8" t="s">
        <v>1587</v>
      </c>
    </row>
    <row r="1152" customFormat="false" ht="15" hidden="false" customHeight="false" outlineLevel="0" collapsed="false">
      <c r="A1152" s="8" t="n">
        <v>213</v>
      </c>
      <c r="B1152" s="8" t="s">
        <v>1587</v>
      </c>
    </row>
    <row r="1153" customFormat="false" ht="15" hidden="false" customHeight="false" outlineLevel="0" collapsed="false">
      <c r="A1153" s="8" t="n">
        <v>225</v>
      </c>
      <c r="B1153" s="8" t="s">
        <v>1587</v>
      </c>
    </row>
    <row r="1154" customFormat="false" ht="15" hidden="false" customHeight="false" outlineLevel="0" collapsed="false">
      <c r="A1154" s="8" t="n">
        <v>54</v>
      </c>
      <c r="B1154" s="8" t="s">
        <v>1588</v>
      </c>
    </row>
    <row r="1155" customFormat="false" ht="15" hidden="false" customHeight="false" outlineLevel="0" collapsed="false">
      <c r="A1155" s="8" t="n">
        <v>111</v>
      </c>
      <c r="B1155" s="8" t="s">
        <v>1588</v>
      </c>
    </row>
    <row r="1156" customFormat="false" ht="15" hidden="false" customHeight="false" outlineLevel="0" collapsed="false">
      <c r="A1156" s="8" t="n">
        <v>227</v>
      </c>
      <c r="B1156" s="8" t="s">
        <v>1588</v>
      </c>
    </row>
    <row r="1157" customFormat="false" ht="15" hidden="false" customHeight="false" outlineLevel="0" collapsed="false">
      <c r="A1157" s="8" t="n">
        <v>38</v>
      </c>
      <c r="B1157" s="8" t="s">
        <v>1589</v>
      </c>
    </row>
    <row r="1158" customFormat="false" ht="15" hidden="false" customHeight="false" outlineLevel="0" collapsed="false">
      <c r="A1158" s="8" t="n">
        <v>59</v>
      </c>
      <c r="B1158" s="8" t="s">
        <v>1589</v>
      </c>
    </row>
    <row r="1159" customFormat="false" ht="15" hidden="false" customHeight="false" outlineLevel="0" collapsed="false">
      <c r="A1159" s="8" t="n">
        <v>15</v>
      </c>
      <c r="B1159" s="8" t="s">
        <v>1590</v>
      </c>
    </row>
    <row r="1160" customFormat="false" ht="15" hidden="false" customHeight="false" outlineLevel="0" collapsed="false">
      <c r="A1160" s="8" t="n">
        <v>44</v>
      </c>
      <c r="B1160" s="8" t="s">
        <v>1590</v>
      </c>
    </row>
    <row r="1161" customFormat="false" ht="15" hidden="false" customHeight="false" outlineLevel="0" collapsed="false">
      <c r="A1161" s="8" t="n">
        <v>64</v>
      </c>
      <c r="B1161" s="8" t="s">
        <v>1590</v>
      </c>
    </row>
    <row r="1162" customFormat="false" ht="15" hidden="false" customHeight="false" outlineLevel="0" collapsed="false">
      <c r="A1162" s="8" t="n">
        <v>106</v>
      </c>
      <c r="B1162" s="8" t="s">
        <v>1590</v>
      </c>
    </row>
    <row r="1163" customFormat="false" ht="15" hidden="false" customHeight="false" outlineLevel="0" collapsed="false">
      <c r="A1163" s="8" t="n">
        <v>89</v>
      </c>
      <c r="B1163" s="8" t="s">
        <v>1591</v>
      </c>
    </row>
    <row r="1164" customFormat="false" ht="15" hidden="false" customHeight="false" outlineLevel="0" collapsed="false">
      <c r="A1164" s="8" t="n">
        <v>89</v>
      </c>
      <c r="B1164" s="8" t="s">
        <v>1592</v>
      </c>
    </row>
    <row r="1165" customFormat="false" ht="15" hidden="false" customHeight="false" outlineLevel="0" collapsed="false">
      <c r="A1165" s="8" t="n">
        <v>108</v>
      </c>
      <c r="B1165" s="8" t="s">
        <v>1592</v>
      </c>
    </row>
    <row r="1166" customFormat="false" ht="15" hidden="false" customHeight="false" outlineLevel="0" collapsed="false">
      <c r="A1166" s="8" t="n">
        <v>4</v>
      </c>
      <c r="B1166" s="8" t="s">
        <v>1593</v>
      </c>
    </row>
    <row r="1167" customFormat="false" ht="15" hidden="false" customHeight="false" outlineLevel="0" collapsed="false">
      <c r="A1167" s="8" t="n">
        <v>10</v>
      </c>
      <c r="B1167" s="8" t="s">
        <v>1593</v>
      </c>
    </row>
    <row r="1168" customFormat="false" ht="15" hidden="false" customHeight="false" outlineLevel="0" collapsed="false">
      <c r="A1168" s="8" t="n">
        <v>23</v>
      </c>
      <c r="B1168" s="8" t="s">
        <v>1593</v>
      </c>
    </row>
    <row r="1169" customFormat="false" ht="15" hidden="false" customHeight="false" outlineLevel="0" collapsed="false">
      <c r="A1169" s="8" t="n">
        <v>29</v>
      </c>
      <c r="B1169" s="8" t="s">
        <v>1593</v>
      </c>
    </row>
    <row r="1170" customFormat="false" ht="15" hidden="false" customHeight="false" outlineLevel="0" collapsed="false">
      <c r="A1170" s="8" t="n">
        <v>38</v>
      </c>
      <c r="B1170" s="8" t="s">
        <v>1593</v>
      </c>
    </row>
    <row r="1171" customFormat="false" ht="15" hidden="false" customHeight="false" outlineLevel="0" collapsed="false">
      <c r="A1171" s="8" t="n">
        <v>42</v>
      </c>
      <c r="B1171" s="8" t="s">
        <v>1593</v>
      </c>
    </row>
    <row r="1172" customFormat="false" ht="15" hidden="false" customHeight="false" outlineLevel="0" collapsed="false">
      <c r="A1172" s="8" t="n">
        <v>43</v>
      </c>
      <c r="B1172" s="8" t="s">
        <v>1593</v>
      </c>
    </row>
    <row r="1173" customFormat="false" ht="15" hidden="false" customHeight="false" outlineLevel="0" collapsed="false">
      <c r="A1173" s="8" t="n">
        <v>44</v>
      </c>
      <c r="B1173" s="8" t="s">
        <v>1593</v>
      </c>
    </row>
    <row r="1174" customFormat="false" ht="15" hidden="false" customHeight="false" outlineLevel="0" collapsed="false">
      <c r="A1174" s="8" t="n">
        <v>50</v>
      </c>
      <c r="B1174" s="8" t="s">
        <v>1593</v>
      </c>
    </row>
    <row r="1175" customFormat="false" ht="15" hidden="false" customHeight="false" outlineLevel="0" collapsed="false">
      <c r="A1175" s="8" t="n">
        <v>53</v>
      </c>
      <c r="B1175" s="8" t="s">
        <v>1593</v>
      </c>
    </row>
    <row r="1176" customFormat="false" ht="15" hidden="false" customHeight="false" outlineLevel="0" collapsed="false">
      <c r="A1176" s="8" t="n">
        <v>56</v>
      </c>
      <c r="B1176" s="8" t="s">
        <v>1593</v>
      </c>
    </row>
    <row r="1177" customFormat="false" ht="15" hidden="false" customHeight="false" outlineLevel="0" collapsed="false">
      <c r="A1177" s="8" t="n">
        <v>64</v>
      </c>
      <c r="B1177" s="8" t="s">
        <v>1593</v>
      </c>
    </row>
    <row r="1178" customFormat="false" ht="15" hidden="false" customHeight="false" outlineLevel="0" collapsed="false">
      <c r="A1178" s="8" t="n">
        <v>72</v>
      </c>
      <c r="B1178" s="8" t="s">
        <v>1593</v>
      </c>
    </row>
    <row r="1179" customFormat="false" ht="15" hidden="false" customHeight="false" outlineLevel="0" collapsed="false">
      <c r="A1179" s="8" t="n">
        <v>73</v>
      </c>
      <c r="B1179" s="8" t="s">
        <v>1593</v>
      </c>
    </row>
    <row r="1180" customFormat="false" ht="15" hidden="false" customHeight="false" outlineLevel="0" collapsed="false">
      <c r="A1180" s="8" t="n">
        <v>75</v>
      </c>
      <c r="B1180" s="8" t="s">
        <v>1593</v>
      </c>
    </row>
    <row r="1181" customFormat="false" ht="15" hidden="false" customHeight="false" outlineLevel="0" collapsed="false">
      <c r="A1181" s="8" t="n">
        <v>78</v>
      </c>
      <c r="B1181" s="8" t="s">
        <v>1593</v>
      </c>
    </row>
    <row r="1182" customFormat="false" ht="15" hidden="false" customHeight="false" outlineLevel="0" collapsed="false">
      <c r="A1182" s="8" t="n">
        <v>82</v>
      </c>
      <c r="B1182" s="8" t="s">
        <v>1593</v>
      </c>
    </row>
    <row r="1183" customFormat="false" ht="15" hidden="false" customHeight="false" outlineLevel="0" collapsed="false">
      <c r="A1183" s="8" t="n">
        <v>87</v>
      </c>
      <c r="B1183" s="8" t="s">
        <v>1593</v>
      </c>
    </row>
    <row r="1184" customFormat="false" ht="15" hidden="false" customHeight="false" outlineLevel="0" collapsed="false">
      <c r="A1184" s="8" t="n">
        <v>92</v>
      </c>
      <c r="B1184" s="8" t="s">
        <v>1593</v>
      </c>
    </row>
    <row r="1185" customFormat="false" ht="15" hidden="false" customHeight="false" outlineLevel="0" collapsed="false">
      <c r="A1185" s="8" t="n">
        <v>94</v>
      </c>
      <c r="B1185" s="8" t="s">
        <v>1593</v>
      </c>
    </row>
    <row r="1186" customFormat="false" ht="15" hidden="false" customHeight="false" outlineLevel="0" collapsed="false">
      <c r="A1186" s="8" t="n">
        <v>97</v>
      </c>
      <c r="B1186" s="8" t="s">
        <v>1593</v>
      </c>
    </row>
    <row r="1187" customFormat="false" ht="15" hidden="false" customHeight="false" outlineLevel="0" collapsed="false">
      <c r="A1187" s="8" t="n">
        <v>98</v>
      </c>
      <c r="B1187" s="8" t="s">
        <v>1593</v>
      </c>
    </row>
    <row r="1188" customFormat="false" ht="15" hidden="false" customHeight="false" outlineLevel="0" collapsed="false">
      <c r="A1188" s="8" t="n">
        <v>100</v>
      </c>
      <c r="B1188" s="8" t="s">
        <v>1593</v>
      </c>
    </row>
    <row r="1189" customFormat="false" ht="15" hidden="false" customHeight="false" outlineLevel="0" collapsed="false">
      <c r="A1189" s="8" t="n">
        <v>103</v>
      </c>
      <c r="B1189" s="8" t="s">
        <v>1593</v>
      </c>
    </row>
    <row r="1190" customFormat="false" ht="15" hidden="false" customHeight="false" outlineLevel="0" collapsed="false">
      <c r="A1190" s="8" t="n">
        <v>105</v>
      </c>
      <c r="B1190" s="8" t="s">
        <v>1593</v>
      </c>
    </row>
    <row r="1191" customFormat="false" ht="15" hidden="false" customHeight="false" outlineLevel="0" collapsed="false">
      <c r="A1191" s="8" t="n">
        <v>113</v>
      </c>
      <c r="B1191" s="8" t="s">
        <v>1593</v>
      </c>
    </row>
    <row r="1192" customFormat="false" ht="15" hidden="false" customHeight="false" outlineLevel="0" collapsed="false">
      <c r="A1192" s="8" t="n">
        <v>114</v>
      </c>
      <c r="B1192" s="8" t="s">
        <v>1593</v>
      </c>
    </row>
    <row r="1193" customFormat="false" ht="15" hidden="false" customHeight="false" outlineLevel="0" collapsed="false">
      <c r="A1193" s="8" t="n">
        <v>129</v>
      </c>
      <c r="B1193" s="8" t="s">
        <v>1593</v>
      </c>
    </row>
    <row r="1194" customFormat="false" ht="15" hidden="false" customHeight="false" outlineLevel="0" collapsed="false">
      <c r="A1194" s="8" t="n">
        <v>133</v>
      </c>
      <c r="B1194" s="8" t="s">
        <v>1593</v>
      </c>
    </row>
    <row r="1195" customFormat="false" ht="15" hidden="false" customHeight="false" outlineLevel="0" collapsed="false">
      <c r="A1195" s="8" t="n">
        <v>134</v>
      </c>
      <c r="B1195" s="8" t="s">
        <v>1593</v>
      </c>
    </row>
    <row r="1196" customFormat="false" ht="15" hidden="false" customHeight="false" outlineLevel="0" collapsed="false">
      <c r="A1196" s="8" t="n">
        <v>137</v>
      </c>
      <c r="B1196" s="8" t="s">
        <v>1593</v>
      </c>
    </row>
    <row r="1197" customFormat="false" ht="15" hidden="false" customHeight="false" outlineLevel="0" collapsed="false">
      <c r="A1197" s="8" t="n">
        <v>139</v>
      </c>
      <c r="B1197" s="8" t="s">
        <v>1593</v>
      </c>
    </row>
    <row r="1198" customFormat="false" ht="15" hidden="false" customHeight="false" outlineLevel="0" collapsed="false">
      <c r="A1198" s="8" t="n">
        <v>141</v>
      </c>
      <c r="B1198" s="8" t="s">
        <v>1593</v>
      </c>
    </row>
    <row r="1199" customFormat="false" ht="15" hidden="false" customHeight="false" outlineLevel="0" collapsed="false">
      <c r="A1199" s="8" t="n">
        <v>146</v>
      </c>
      <c r="B1199" s="8" t="s">
        <v>1593</v>
      </c>
    </row>
    <row r="1200" customFormat="false" ht="15" hidden="false" customHeight="false" outlineLevel="0" collapsed="false">
      <c r="A1200" s="8" t="n">
        <v>150</v>
      </c>
      <c r="B1200" s="8" t="s">
        <v>1593</v>
      </c>
    </row>
    <row r="1201" customFormat="false" ht="15" hidden="false" customHeight="false" outlineLevel="0" collapsed="false">
      <c r="A1201" s="8" t="n">
        <v>153</v>
      </c>
      <c r="B1201" s="8" t="s">
        <v>1593</v>
      </c>
    </row>
    <row r="1202" customFormat="false" ht="15" hidden="false" customHeight="false" outlineLevel="0" collapsed="false">
      <c r="A1202" s="8" t="n">
        <v>155</v>
      </c>
      <c r="B1202" s="8" t="s">
        <v>1593</v>
      </c>
    </row>
    <row r="1203" customFormat="false" ht="15" hidden="false" customHeight="false" outlineLevel="0" collapsed="false">
      <c r="A1203" s="8" t="n">
        <v>157</v>
      </c>
      <c r="B1203" s="8" t="s">
        <v>1593</v>
      </c>
    </row>
    <row r="1204" customFormat="false" ht="15" hidden="false" customHeight="false" outlineLevel="0" collapsed="false">
      <c r="A1204" s="8" t="n">
        <v>164</v>
      </c>
      <c r="B1204" s="8" t="s">
        <v>1593</v>
      </c>
    </row>
    <row r="1205" customFormat="false" ht="15" hidden="false" customHeight="false" outlineLevel="0" collapsed="false">
      <c r="A1205" s="8" t="n">
        <v>165</v>
      </c>
      <c r="B1205" s="8" t="s">
        <v>1593</v>
      </c>
    </row>
    <row r="1206" customFormat="false" ht="15" hidden="false" customHeight="false" outlineLevel="0" collapsed="false">
      <c r="A1206" s="8" t="n">
        <v>175</v>
      </c>
      <c r="B1206" s="8" t="s">
        <v>1593</v>
      </c>
    </row>
    <row r="1207" customFormat="false" ht="15" hidden="false" customHeight="false" outlineLevel="0" collapsed="false">
      <c r="A1207" s="8" t="n">
        <v>183</v>
      </c>
      <c r="B1207" s="8" t="s">
        <v>1593</v>
      </c>
    </row>
    <row r="1208" customFormat="false" ht="15" hidden="false" customHeight="false" outlineLevel="0" collapsed="false">
      <c r="A1208" s="8" t="n">
        <v>187</v>
      </c>
      <c r="B1208" s="8" t="s">
        <v>1593</v>
      </c>
    </row>
    <row r="1209" customFormat="false" ht="15" hidden="false" customHeight="false" outlineLevel="0" collapsed="false">
      <c r="A1209" s="8" t="n">
        <v>195</v>
      </c>
      <c r="B1209" s="8" t="s">
        <v>1593</v>
      </c>
    </row>
    <row r="1210" customFormat="false" ht="15" hidden="false" customHeight="false" outlineLevel="0" collapsed="false">
      <c r="A1210" s="8" t="n">
        <v>197</v>
      </c>
      <c r="B1210" s="8" t="s">
        <v>1593</v>
      </c>
    </row>
    <row r="1211" customFormat="false" ht="15" hidden="false" customHeight="false" outlineLevel="0" collapsed="false">
      <c r="A1211" s="8" t="n">
        <v>199</v>
      </c>
      <c r="B1211" s="8" t="s">
        <v>1593</v>
      </c>
    </row>
    <row r="1212" customFormat="false" ht="15" hidden="false" customHeight="false" outlineLevel="0" collapsed="false">
      <c r="A1212" s="8" t="n">
        <v>226</v>
      </c>
      <c r="B1212" s="8" t="s">
        <v>1593</v>
      </c>
    </row>
    <row r="1213" customFormat="false" ht="15" hidden="false" customHeight="false" outlineLevel="0" collapsed="false">
      <c r="A1213" s="8" t="n">
        <v>10</v>
      </c>
      <c r="B1213" s="8" t="s">
        <v>1594</v>
      </c>
    </row>
    <row r="1214" customFormat="false" ht="15" hidden="false" customHeight="false" outlineLevel="0" collapsed="false">
      <c r="A1214" s="8" t="n">
        <v>203</v>
      </c>
      <c r="B1214" s="8" t="s">
        <v>1595</v>
      </c>
    </row>
    <row r="1215" customFormat="false" ht="15" hidden="false" customHeight="false" outlineLevel="0" collapsed="false">
      <c r="A1215" s="8" t="n">
        <v>71</v>
      </c>
      <c r="B1215" s="8" t="s">
        <v>1596</v>
      </c>
    </row>
    <row r="1216" customFormat="false" ht="15" hidden="false" customHeight="false" outlineLevel="0" collapsed="false">
      <c r="A1216" s="8" t="n">
        <v>103</v>
      </c>
      <c r="B1216" s="8" t="s">
        <v>1596</v>
      </c>
    </row>
    <row r="1217" customFormat="false" ht="15" hidden="false" customHeight="false" outlineLevel="0" collapsed="false">
      <c r="A1217" s="8" t="n">
        <v>10</v>
      </c>
      <c r="B1217" s="8" t="s">
        <v>1597</v>
      </c>
    </row>
    <row r="1218" customFormat="false" ht="15" hidden="false" customHeight="false" outlineLevel="0" collapsed="false">
      <c r="A1218" s="8" t="n">
        <v>33</v>
      </c>
      <c r="B1218" s="8" t="s">
        <v>1598</v>
      </c>
    </row>
    <row r="1219" customFormat="false" ht="15" hidden="false" customHeight="false" outlineLevel="0" collapsed="false">
      <c r="A1219" s="8" t="n">
        <v>121</v>
      </c>
      <c r="B1219" s="8" t="s">
        <v>1598</v>
      </c>
    </row>
    <row r="1220" customFormat="false" ht="15" hidden="false" customHeight="false" outlineLevel="0" collapsed="false">
      <c r="A1220" s="8" t="n">
        <v>130</v>
      </c>
      <c r="B1220" s="8" t="s">
        <v>1598</v>
      </c>
    </row>
    <row r="1221" customFormat="false" ht="15" hidden="false" customHeight="false" outlineLevel="0" collapsed="false">
      <c r="A1221" s="8" t="n">
        <v>17</v>
      </c>
      <c r="B1221" s="8" t="s">
        <v>1599</v>
      </c>
    </row>
    <row r="1222" customFormat="false" ht="15" hidden="false" customHeight="false" outlineLevel="0" collapsed="false">
      <c r="A1222" s="8" t="n">
        <v>21</v>
      </c>
      <c r="B1222" s="8" t="s">
        <v>1599</v>
      </c>
    </row>
    <row r="1223" customFormat="false" ht="15" hidden="false" customHeight="false" outlineLevel="0" collapsed="false">
      <c r="A1223" s="8" t="n">
        <v>39</v>
      </c>
      <c r="B1223" s="8" t="s">
        <v>1599</v>
      </c>
    </row>
    <row r="1224" customFormat="false" ht="15" hidden="false" customHeight="false" outlineLevel="0" collapsed="false">
      <c r="A1224" s="8" t="n">
        <v>119</v>
      </c>
      <c r="B1224" s="8" t="s">
        <v>1599</v>
      </c>
    </row>
    <row r="1225" customFormat="false" ht="15" hidden="false" customHeight="false" outlineLevel="0" collapsed="false">
      <c r="A1225" s="8" t="n">
        <v>154</v>
      </c>
      <c r="B1225" s="8" t="s">
        <v>1599</v>
      </c>
    </row>
    <row r="1226" customFormat="false" ht="15" hidden="false" customHeight="false" outlineLevel="0" collapsed="false">
      <c r="A1226" s="8" t="n">
        <v>168</v>
      </c>
      <c r="B1226" s="8" t="s">
        <v>1599</v>
      </c>
    </row>
    <row r="1227" customFormat="false" ht="15" hidden="false" customHeight="false" outlineLevel="0" collapsed="false">
      <c r="A1227" s="8" t="n">
        <v>63</v>
      </c>
      <c r="B1227" s="8" t="s">
        <v>1600</v>
      </c>
    </row>
    <row r="1228" customFormat="false" ht="15" hidden="false" customHeight="false" outlineLevel="0" collapsed="false">
      <c r="A1228" s="8" t="n">
        <v>82</v>
      </c>
      <c r="B1228" s="8" t="s">
        <v>1601</v>
      </c>
    </row>
    <row r="1229" customFormat="false" ht="15" hidden="false" customHeight="false" outlineLevel="0" collapsed="false">
      <c r="A1229" s="8" t="n">
        <v>88</v>
      </c>
      <c r="B1229" s="8" t="s">
        <v>1601</v>
      </c>
    </row>
    <row r="1230" customFormat="false" ht="15" hidden="false" customHeight="false" outlineLevel="0" collapsed="false">
      <c r="A1230" s="8" t="n">
        <v>175</v>
      </c>
      <c r="B1230" s="8" t="s">
        <v>1601</v>
      </c>
    </row>
    <row r="1231" customFormat="false" ht="15" hidden="false" customHeight="false" outlineLevel="0" collapsed="false">
      <c r="A1231" s="8" t="n">
        <v>4</v>
      </c>
      <c r="B1231" s="8" t="s">
        <v>1602</v>
      </c>
    </row>
    <row r="1232" customFormat="false" ht="15" hidden="false" customHeight="false" outlineLevel="0" collapsed="false">
      <c r="A1232" s="8" t="n">
        <v>11</v>
      </c>
      <c r="B1232" s="8" t="s">
        <v>1602</v>
      </c>
    </row>
    <row r="1233" customFormat="false" ht="15" hidden="false" customHeight="false" outlineLevel="0" collapsed="false">
      <c r="A1233" s="8" t="n">
        <v>43</v>
      </c>
      <c r="B1233" s="8" t="s">
        <v>1602</v>
      </c>
    </row>
    <row r="1234" customFormat="false" ht="15" hidden="false" customHeight="false" outlineLevel="0" collapsed="false">
      <c r="A1234" s="8" t="n">
        <v>64</v>
      </c>
      <c r="B1234" s="8" t="s">
        <v>1602</v>
      </c>
    </row>
    <row r="1235" customFormat="false" ht="15" hidden="false" customHeight="false" outlineLevel="0" collapsed="false">
      <c r="A1235" s="8" t="n">
        <v>66</v>
      </c>
      <c r="B1235" s="8" t="s">
        <v>1602</v>
      </c>
    </row>
    <row r="1236" customFormat="false" ht="15" hidden="false" customHeight="false" outlineLevel="0" collapsed="false">
      <c r="A1236" s="8" t="n">
        <v>67</v>
      </c>
      <c r="B1236" s="8" t="s">
        <v>1602</v>
      </c>
    </row>
    <row r="1237" customFormat="false" ht="15" hidden="false" customHeight="false" outlineLevel="0" collapsed="false">
      <c r="A1237" s="8" t="n">
        <v>72</v>
      </c>
      <c r="B1237" s="8" t="s">
        <v>1602</v>
      </c>
    </row>
    <row r="1238" customFormat="false" ht="15" hidden="false" customHeight="false" outlineLevel="0" collapsed="false">
      <c r="A1238" s="8" t="n">
        <v>74</v>
      </c>
      <c r="B1238" s="8" t="s">
        <v>1602</v>
      </c>
    </row>
    <row r="1239" customFormat="false" ht="15" hidden="false" customHeight="false" outlineLevel="0" collapsed="false">
      <c r="A1239" s="8" t="n">
        <v>75</v>
      </c>
      <c r="B1239" s="8" t="s">
        <v>1602</v>
      </c>
    </row>
    <row r="1240" customFormat="false" ht="15" hidden="false" customHeight="false" outlineLevel="0" collapsed="false">
      <c r="A1240" s="8" t="n">
        <v>79</v>
      </c>
      <c r="B1240" s="8" t="s">
        <v>1602</v>
      </c>
    </row>
    <row r="1241" customFormat="false" ht="15" hidden="false" customHeight="false" outlineLevel="0" collapsed="false">
      <c r="A1241" s="8" t="n">
        <v>81</v>
      </c>
      <c r="B1241" s="8" t="s">
        <v>1602</v>
      </c>
    </row>
    <row r="1242" customFormat="false" ht="15" hidden="false" customHeight="false" outlineLevel="0" collapsed="false">
      <c r="A1242" s="8" t="n">
        <v>82</v>
      </c>
      <c r="B1242" s="8" t="s">
        <v>1602</v>
      </c>
    </row>
    <row r="1243" customFormat="false" ht="15" hidden="false" customHeight="false" outlineLevel="0" collapsed="false">
      <c r="A1243" s="8" t="n">
        <v>86</v>
      </c>
      <c r="B1243" s="8" t="s">
        <v>1602</v>
      </c>
    </row>
    <row r="1244" customFormat="false" ht="15" hidden="false" customHeight="false" outlineLevel="0" collapsed="false">
      <c r="A1244" s="8" t="n">
        <v>87</v>
      </c>
      <c r="B1244" s="8" t="s">
        <v>1602</v>
      </c>
    </row>
    <row r="1245" customFormat="false" ht="15" hidden="false" customHeight="false" outlineLevel="0" collapsed="false">
      <c r="A1245" s="8" t="n">
        <v>94</v>
      </c>
      <c r="B1245" s="8" t="s">
        <v>1602</v>
      </c>
    </row>
    <row r="1246" customFormat="false" ht="15" hidden="false" customHeight="false" outlineLevel="0" collapsed="false">
      <c r="A1246" s="8" t="n">
        <v>98</v>
      </c>
      <c r="B1246" s="8" t="s">
        <v>1602</v>
      </c>
    </row>
    <row r="1247" customFormat="false" ht="15" hidden="false" customHeight="false" outlineLevel="0" collapsed="false">
      <c r="A1247" s="8" t="n">
        <v>100</v>
      </c>
      <c r="B1247" s="8" t="s">
        <v>1602</v>
      </c>
    </row>
    <row r="1248" customFormat="false" ht="15" hidden="false" customHeight="false" outlineLevel="0" collapsed="false">
      <c r="A1248" s="8" t="n">
        <v>125</v>
      </c>
      <c r="B1248" s="8" t="s">
        <v>1602</v>
      </c>
    </row>
    <row r="1249" customFormat="false" ht="15" hidden="false" customHeight="false" outlineLevel="0" collapsed="false">
      <c r="A1249" s="8" t="n">
        <v>126</v>
      </c>
      <c r="B1249" s="8" t="s">
        <v>1602</v>
      </c>
    </row>
    <row r="1250" customFormat="false" ht="15" hidden="false" customHeight="false" outlineLevel="0" collapsed="false">
      <c r="A1250" s="8" t="n">
        <v>138</v>
      </c>
      <c r="B1250" s="8" t="s">
        <v>1602</v>
      </c>
    </row>
    <row r="1251" customFormat="false" ht="15" hidden="false" customHeight="false" outlineLevel="0" collapsed="false">
      <c r="A1251" s="8" t="n">
        <v>150</v>
      </c>
      <c r="B1251" s="8" t="s">
        <v>1602</v>
      </c>
    </row>
    <row r="1252" customFormat="false" ht="15" hidden="false" customHeight="false" outlineLevel="0" collapsed="false">
      <c r="A1252" s="8" t="n">
        <v>157</v>
      </c>
      <c r="B1252" s="8" t="s">
        <v>1602</v>
      </c>
    </row>
    <row r="1253" customFormat="false" ht="15" hidden="false" customHeight="false" outlineLevel="0" collapsed="false">
      <c r="A1253" s="8" t="n">
        <v>170</v>
      </c>
      <c r="B1253" s="8" t="s">
        <v>1602</v>
      </c>
    </row>
    <row r="1254" customFormat="false" ht="15" hidden="false" customHeight="false" outlineLevel="0" collapsed="false">
      <c r="A1254" s="8" t="n">
        <v>171</v>
      </c>
      <c r="B1254" s="8" t="s">
        <v>1602</v>
      </c>
    </row>
    <row r="1255" customFormat="false" ht="15" hidden="false" customHeight="false" outlineLevel="0" collapsed="false">
      <c r="A1255" s="8" t="n">
        <v>172</v>
      </c>
      <c r="B1255" s="8" t="s">
        <v>1602</v>
      </c>
    </row>
    <row r="1256" customFormat="false" ht="15" hidden="false" customHeight="false" outlineLevel="0" collapsed="false">
      <c r="A1256" s="8" t="n">
        <v>176</v>
      </c>
      <c r="B1256" s="8" t="s">
        <v>1602</v>
      </c>
    </row>
    <row r="1257" customFormat="false" ht="15" hidden="false" customHeight="false" outlineLevel="0" collapsed="false">
      <c r="A1257" s="8" t="n">
        <v>177</v>
      </c>
      <c r="B1257" s="8" t="s">
        <v>1602</v>
      </c>
    </row>
    <row r="1258" customFormat="false" ht="15" hidden="false" customHeight="false" outlineLevel="0" collapsed="false">
      <c r="A1258" s="8" t="n">
        <v>178</v>
      </c>
      <c r="B1258" s="8" t="s">
        <v>1602</v>
      </c>
    </row>
    <row r="1259" customFormat="false" ht="15" hidden="false" customHeight="false" outlineLevel="0" collapsed="false">
      <c r="A1259" s="8" t="n">
        <v>179</v>
      </c>
      <c r="B1259" s="8" t="s">
        <v>1602</v>
      </c>
    </row>
    <row r="1260" customFormat="false" ht="15" hidden="false" customHeight="false" outlineLevel="0" collapsed="false">
      <c r="A1260" s="8" t="n">
        <v>182</v>
      </c>
      <c r="B1260" s="8" t="s">
        <v>1602</v>
      </c>
    </row>
    <row r="1261" customFormat="false" ht="15" hidden="false" customHeight="false" outlineLevel="0" collapsed="false">
      <c r="A1261" s="8" t="n">
        <v>185</v>
      </c>
      <c r="B1261" s="8" t="s">
        <v>1602</v>
      </c>
    </row>
    <row r="1262" customFormat="false" ht="15" hidden="false" customHeight="false" outlineLevel="0" collapsed="false">
      <c r="A1262" s="8" t="n">
        <v>186</v>
      </c>
      <c r="B1262" s="8" t="s">
        <v>1602</v>
      </c>
    </row>
    <row r="1263" customFormat="false" ht="15" hidden="false" customHeight="false" outlineLevel="0" collapsed="false">
      <c r="A1263" s="8" t="n">
        <v>213</v>
      </c>
      <c r="B1263" s="8" t="s">
        <v>1602</v>
      </c>
    </row>
    <row r="1264" customFormat="false" ht="15" hidden="false" customHeight="false" outlineLevel="0" collapsed="false">
      <c r="A1264" s="8" t="n">
        <v>225</v>
      </c>
      <c r="B1264" s="8" t="s">
        <v>1602</v>
      </c>
    </row>
    <row r="1265" customFormat="false" ht="15" hidden="false" customHeight="false" outlineLevel="0" collapsed="false">
      <c r="A1265" s="8" t="n">
        <v>228</v>
      </c>
      <c r="B1265" s="8" t="s">
        <v>1602</v>
      </c>
    </row>
    <row r="1266" customFormat="false" ht="15" hidden="false" customHeight="false" outlineLevel="0" collapsed="false">
      <c r="A1266" s="8" t="n">
        <v>40</v>
      </c>
      <c r="B1266" s="8" t="s">
        <v>1603</v>
      </c>
    </row>
    <row r="1267" customFormat="false" ht="15" hidden="false" customHeight="false" outlineLevel="0" collapsed="false">
      <c r="A1267" s="8" t="n">
        <v>59</v>
      </c>
      <c r="B1267" s="8" t="s">
        <v>1603</v>
      </c>
    </row>
    <row r="1268" customFormat="false" ht="15" hidden="false" customHeight="false" outlineLevel="0" collapsed="false">
      <c r="A1268" s="8" t="n">
        <v>167</v>
      </c>
      <c r="B1268" s="8" t="s">
        <v>1603</v>
      </c>
    </row>
    <row r="1269" customFormat="false" ht="15" hidden="false" customHeight="false" outlineLevel="0" collapsed="false">
      <c r="A1269" s="8" t="n">
        <v>34</v>
      </c>
      <c r="B1269" s="8" t="s">
        <v>1604</v>
      </c>
    </row>
    <row r="1270" customFormat="false" ht="15" hidden="false" customHeight="false" outlineLevel="0" collapsed="false">
      <c r="A1270" s="8" t="n">
        <v>91</v>
      </c>
      <c r="B1270" s="8" t="s">
        <v>1604</v>
      </c>
    </row>
    <row r="1271" customFormat="false" ht="15" hidden="false" customHeight="false" outlineLevel="0" collapsed="false">
      <c r="A1271" s="8" t="n">
        <v>109</v>
      </c>
      <c r="B1271" s="8" t="s">
        <v>1604</v>
      </c>
    </row>
    <row r="1272" customFormat="false" ht="15" hidden="false" customHeight="false" outlineLevel="0" collapsed="false">
      <c r="A1272" s="8" t="n">
        <v>137</v>
      </c>
      <c r="B1272" s="8" t="s">
        <v>1604</v>
      </c>
    </row>
    <row r="1273" customFormat="false" ht="15" hidden="false" customHeight="false" outlineLevel="0" collapsed="false">
      <c r="A1273" s="8" t="n">
        <v>138</v>
      </c>
      <c r="B1273" s="8" t="s">
        <v>1604</v>
      </c>
    </row>
    <row r="1274" customFormat="false" ht="15" hidden="false" customHeight="false" outlineLevel="0" collapsed="false">
      <c r="A1274" s="8" t="n">
        <v>4</v>
      </c>
      <c r="B1274" s="8" t="s">
        <v>1605</v>
      </c>
    </row>
    <row r="1275" customFormat="false" ht="15" hidden="false" customHeight="false" outlineLevel="0" collapsed="false">
      <c r="A1275" s="8" t="n">
        <v>17</v>
      </c>
      <c r="B1275" s="8" t="s">
        <v>1605</v>
      </c>
    </row>
    <row r="1276" customFormat="false" ht="15" hidden="false" customHeight="false" outlineLevel="0" collapsed="false">
      <c r="A1276" s="8" t="n">
        <v>25</v>
      </c>
      <c r="B1276" s="8" t="s">
        <v>1605</v>
      </c>
    </row>
    <row r="1277" customFormat="false" ht="15" hidden="false" customHeight="false" outlineLevel="0" collapsed="false">
      <c r="A1277" s="8" t="n">
        <v>35</v>
      </c>
      <c r="B1277" s="8" t="s">
        <v>1605</v>
      </c>
    </row>
    <row r="1278" customFormat="false" ht="15" hidden="false" customHeight="false" outlineLevel="0" collapsed="false">
      <c r="A1278" s="8" t="n">
        <v>44</v>
      </c>
      <c r="B1278" s="8" t="s">
        <v>1605</v>
      </c>
    </row>
    <row r="1279" customFormat="false" ht="15" hidden="false" customHeight="false" outlineLevel="0" collapsed="false">
      <c r="A1279" s="8" t="n">
        <v>72</v>
      </c>
      <c r="B1279" s="8" t="s">
        <v>1605</v>
      </c>
    </row>
    <row r="1280" customFormat="false" ht="15" hidden="false" customHeight="false" outlineLevel="0" collapsed="false">
      <c r="A1280" s="8" t="n">
        <v>75</v>
      </c>
      <c r="B1280" s="8" t="s">
        <v>1605</v>
      </c>
    </row>
    <row r="1281" customFormat="false" ht="15" hidden="false" customHeight="false" outlineLevel="0" collapsed="false">
      <c r="A1281" s="8" t="n">
        <v>82</v>
      </c>
      <c r="B1281" s="8" t="s">
        <v>1605</v>
      </c>
    </row>
    <row r="1282" customFormat="false" ht="15" hidden="false" customHeight="false" outlineLevel="0" collapsed="false">
      <c r="A1282" s="8" t="n">
        <v>103</v>
      </c>
      <c r="B1282" s="8" t="s">
        <v>1605</v>
      </c>
    </row>
    <row r="1283" customFormat="false" ht="15" hidden="false" customHeight="false" outlineLevel="0" collapsed="false">
      <c r="A1283" s="8" t="n">
        <v>112</v>
      </c>
      <c r="B1283" s="8" t="s">
        <v>1605</v>
      </c>
    </row>
    <row r="1284" customFormat="false" ht="15" hidden="false" customHeight="false" outlineLevel="0" collapsed="false">
      <c r="A1284" s="8" t="n">
        <v>125</v>
      </c>
      <c r="B1284" s="8" t="s">
        <v>1605</v>
      </c>
    </row>
    <row r="1285" customFormat="false" ht="15" hidden="false" customHeight="false" outlineLevel="0" collapsed="false">
      <c r="A1285" s="8" t="n">
        <v>132</v>
      </c>
      <c r="B1285" s="8" t="s">
        <v>1605</v>
      </c>
    </row>
    <row r="1286" customFormat="false" ht="15" hidden="false" customHeight="false" outlineLevel="0" collapsed="false">
      <c r="A1286" s="8" t="n">
        <v>135</v>
      </c>
      <c r="B1286" s="8" t="s">
        <v>1605</v>
      </c>
    </row>
    <row r="1287" customFormat="false" ht="15" hidden="false" customHeight="false" outlineLevel="0" collapsed="false">
      <c r="A1287" s="8" t="n">
        <v>150</v>
      </c>
      <c r="B1287" s="8" t="s">
        <v>1605</v>
      </c>
    </row>
    <row r="1288" customFormat="false" ht="15" hidden="false" customHeight="false" outlineLevel="0" collapsed="false">
      <c r="A1288" s="8" t="n">
        <v>155</v>
      </c>
      <c r="B1288" s="8" t="s">
        <v>1605</v>
      </c>
    </row>
    <row r="1289" customFormat="false" ht="15" hidden="false" customHeight="false" outlineLevel="0" collapsed="false">
      <c r="A1289" s="8" t="n">
        <v>219</v>
      </c>
      <c r="B1289" s="8" t="s">
        <v>1605</v>
      </c>
    </row>
    <row r="1290" customFormat="false" ht="15" hidden="false" customHeight="false" outlineLevel="0" collapsed="false">
      <c r="A1290" s="8" t="n">
        <v>158</v>
      </c>
      <c r="B1290" s="8" t="s">
        <v>1606</v>
      </c>
    </row>
    <row r="1291" customFormat="false" ht="15" hidden="false" customHeight="false" outlineLevel="0" collapsed="false">
      <c r="A1291" s="8" t="n">
        <v>164</v>
      </c>
      <c r="B1291" s="8" t="s">
        <v>1606</v>
      </c>
    </row>
    <row r="1292" customFormat="false" ht="15" hidden="false" customHeight="false" outlineLevel="0" collapsed="false">
      <c r="A1292" s="8" t="n">
        <v>199</v>
      </c>
      <c r="B1292" s="8" t="s">
        <v>1606</v>
      </c>
    </row>
    <row r="1293" customFormat="false" ht="15" hidden="false" customHeight="false" outlineLevel="0" collapsed="false">
      <c r="A1293" s="8" t="n">
        <v>224</v>
      </c>
      <c r="B1293" s="8" t="s">
        <v>1606</v>
      </c>
    </row>
    <row r="1294" customFormat="false" ht="15" hidden="false" customHeight="false" outlineLevel="0" collapsed="false">
      <c r="A1294" s="8" t="n">
        <v>225</v>
      </c>
      <c r="B1294" s="8" t="s">
        <v>1606</v>
      </c>
    </row>
    <row r="1295" customFormat="false" ht="15" hidden="false" customHeight="false" outlineLevel="0" collapsed="false">
      <c r="A1295" s="8" t="n">
        <v>192</v>
      </c>
      <c r="B1295" s="8" t="s">
        <v>1607</v>
      </c>
    </row>
    <row r="1296" customFormat="false" ht="15" hidden="false" customHeight="false" outlineLevel="0" collapsed="false">
      <c r="A1296" s="8" t="n">
        <v>29</v>
      </c>
      <c r="B1296" s="8" t="s">
        <v>1608</v>
      </c>
    </row>
    <row r="1297" customFormat="false" ht="15" hidden="false" customHeight="false" outlineLevel="0" collapsed="false">
      <c r="A1297" s="8" t="n">
        <v>37</v>
      </c>
      <c r="B1297" s="8" t="s">
        <v>1608</v>
      </c>
    </row>
    <row r="1298" customFormat="false" ht="15" hidden="false" customHeight="false" outlineLevel="0" collapsed="false">
      <c r="A1298" s="8" t="n">
        <v>38</v>
      </c>
      <c r="B1298" s="8" t="s">
        <v>1608</v>
      </c>
    </row>
    <row r="1299" customFormat="false" ht="15" hidden="false" customHeight="false" outlineLevel="0" collapsed="false">
      <c r="A1299" s="8" t="n">
        <v>53</v>
      </c>
      <c r="B1299" s="8" t="s">
        <v>1608</v>
      </c>
    </row>
    <row r="1300" customFormat="false" ht="15" hidden="false" customHeight="false" outlineLevel="0" collapsed="false">
      <c r="A1300" s="8" t="n">
        <v>54</v>
      </c>
      <c r="B1300" s="8" t="s">
        <v>1608</v>
      </c>
    </row>
    <row r="1301" customFormat="false" ht="15" hidden="false" customHeight="false" outlineLevel="0" collapsed="false">
      <c r="A1301" s="8" t="n">
        <v>55</v>
      </c>
      <c r="B1301" s="8" t="s">
        <v>1608</v>
      </c>
    </row>
    <row r="1302" customFormat="false" ht="15" hidden="false" customHeight="false" outlineLevel="0" collapsed="false">
      <c r="A1302" s="8" t="n">
        <v>58</v>
      </c>
      <c r="B1302" s="8" t="s">
        <v>1608</v>
      </c>
    </row>
    <row r="1303" customFormat="false" ht="15" hidden="false" customHeight="false" outlineLevel="0" collapsed="false">
      <c r="A1303" s="8" t="n">
        <v>62</v>
      </c>
      <c r="B1303" s="8" t="s">
        <v>1608</v>
      </c>
    </row>
    <row r="1304" customFormat="false" ht="15" hidden="false" customHeight="false" outlineLevel="0" collapsed="false">
      <c r="A1304" s="8" t="n">
        <v>66</v>
      </c>
      <c r="B1304" s="8" t="s">
        <v>1608</v>
      </c>
    </row>
    <row r="1305" customFormat="false" ht="15" hidden="false" customHeight="false" outlineLevel="0" collapsed="false">
      <c r="A1305" s="8" t="n">
        <v>70</v>
      </c>
      <c r="B1305" s="8" t="s">
        <v>1608</v>
      </c>
    </row>
    <row r="1306" customFormat="false" ht="15" hidden="false" customHeight="false" outlineLevel="0" collapsed="false">
      <c r="A1306" s="8" t="n">
        <v>77</v>
      </c>
      <c r="B1306" s="8" t="s">
        <v>1608</v>
      </c>
    </row>
    <row r="1307" customFormat="false" ht="15" hidden="false" customHeight="false" outlineLevel="0" collapsed="false">
      <c r="A1307" s="8" t="n">
        <v>79</v>
      </c>
      <c r="B1307" s="8" t="s">
        <v>1608</v>
      </c>
    </row>
    <row r="1308" customFormat="false" ht="15" hidden="false" customHeight="false" outlineLevel="0" collapsed="false">
      <c r="A1308" s="8" t="n">
        <v>99</v>
      </c>
      <c r="B1308" s="8" t="s">
        <v>1608</v>
      </c>
    </row>
    <row r="1309" customFormat="false" ht="15" hidden="false" customHeight="false" outlineLevel="0" collapsed="false">
      <c r="A1309" s="8" t="n">
        <v>111</v>
      </c>
      <c r="B1309" s="8" t="s">
        <v>1608</v>
      </c>
    </row>
    <row r="1310" customFormat="false" ht="15" hidden="false" customHeight="false" outlineLevel="0" collapsed="false">
      <c r="A1310" s="8" t="n">
        <v>112</v>
      </c>
      <c r="B1310" s="8" t="s">
        <v>1608</v>
      </c>
    </row>
    <row r="1311" customFormat="false" ht="15" hidden="false" customHeight="false" outlineLevel="0" collapsed="false">
      <c r="A1311" s="8" t="n">
        <v>127</v>
      </c>
      <c r="B1311" s="8" t="s">
        <v>1608</v>
      </c>
    </row>
    <row r="1312" customFormat="false" ht="15" hidden="false" customHeight="false" outlineLevel="0" collapsed="false">
      <c r="A1312" s="8" t="n">
        <v>128</v>
      </c>
      <c r="B1312" s="8" t="s">
        <v>1608</v>
      </c>
    </row>
    <row r="1313" customFormat="false" ht="15" hidden="false" customHeight="false" outlineLevel="0" collapsed="false">
      <c r="A1313" s="8" t="n">
        <v>131</v>
      </c>
      <c r="B1313" s="8" t="s">
        <v>1608</v>
      </c>
    </row>
    <row r="1314" customFormat="false" ht="15" hidden="false" customHeight="false" outlineLevel="0" collapsed="false">
      <c r="A1314" s="8" t="n">
        <v>133</v>
      </c>
      <c r="B1314" s="8" t="s">
        <v>1608</v>
      </c>
    </row>
    <row r="1315" customFormat="false" ht="15" hidden="false" customHeight="false" outlineLevel="0" collapsed="false">
      <c r="A1315" s="8" t="n">
        <v>152</v>
      </c>
      <c r="B1315" s="8" t="s">
        <v>1608</v>
      </c>
    </row>
    <row r="1316" customFormat="false" ht="15" hidden="false" customHeight="false" outlineLevel="0" collapsed="false">
      <c r="A1316" s="8" t="n">
        <v>153</v>
      </c>
      <c r="B1316" s="8" t="s">
        <v>1608</v>
      </c>
    </row>
    <row r="1317" customFormat="false" ht="15" hidden="false" customHeight="false" outlineLevel="0" collapsed="false">
      <c r="A1317" s="8" t="n">
        <v>156</v>
      </c>
      <c r="B1317" s="8" t="s">
        <v>1608</v>
      </c>
    </row>
    <row r="1318" customFormat="false" ht="15" hidden="false" customHeight="false" outlineLevel="0" collapsed="false">
      <c r="A1318" s="8" t="n">
        <v>162</v>
      </c>
      <c r="B1318" s="8" t="s">
        <v>1608</v>
      </c>
    </row>
    <row r="1319" customFormat="false" ht="15" hidden="false" customHeight="false" outlineLevel="0" collapsed="false">
      <c r="A1319" s="8" t="n">
        <v>190</v>
      </c>
      <c r="B1319" s="8" t="s">
        <v>1608</v>
      </c>
    </row>
    <row r="1320" customFormat="false" ht="15" hidden="false" customHeight="false" outlineLevel="0" collapsed="false">
      <c r="A1320" s="8" t="n">
        <v>193</v>
      </c>
      <c r="B1320" s="8" t="s">
        <v>1608</v>
      </c>
    </row>
    <row r="1321" customFormat="false" ht="15" hidden="false" customHeight="false" outlineLevel="0" collapsed="false">
      <c r="A1321" s="8" t="n">
        <v>198</v>
      </c>
      <c r="B1321" s="8" t="s">
        <v>1608</v>
      </c>
    </row>
    <row r="1322" customFormat="false" ht="15" hidden="false" customHeight="false" outlineLevel="0" collapsed="false">
      <c r="A1322" s="8" t="n">
        <v>208</v>
      </c>
      <c r="B1322" s="8" t="s">
        <v>1608</v>
      </c>
    </row>
    <row r="1323" customFormat="false" ht="15" hidden="false" customHeight="false" outlineLevel="0" collapsed="false">
      <c r="A1323" s="8" t="n">
        <v>229</v>
      </c>
      <c r="B1323" s="8" t="s">
        <v>1608</v>
      </c>
    </row>
    <row r="1324" customFormat="false" ht="15" hidden="false" customHeight="false" outlineLevel="0" collapsed="false">
      <c r="A1324" s="8" t="n">
        <v>6</v>
      </c>
      <c r="B1324" s="8" t="s">
        <v>1609</v>
      </c>
    </row>
    <row r="1325" customFormat="false" ht="15" hidden="false" customHeight="false" outlineLevel="0" collapsed="false">
      <c r="A1325" s="8" t="n">
        <v>33</v>
      </c>
      <c r="B1325" s="8" t="s">
        <v>1609</v>
      </c>
    </row>
    <row r="1326" customFormat="false" ht="15" hidden="false" customHeight="false" outlineLevel="0" collapsed="false">
      <c r="A1326" s="8" t="n">
        <v>54</v>
      </c>
      <c r="B1326" s="8" t="s">
        <v>1609</v>
      </c>
    </row>
    <row r="1327" customFormat="false" ht="15" hidden="false" customHeight="false" outlineLevel="0" collapsed="false">
      <c r="A1327" s="8" t="n">
        <v>61</v>
      </c>
      <c r="B1327" s="8" t="s">
        <v>1609</v>
      </c>
    </row>
    <row r="1328" customFormat="false" ht="15" hidden="false" customHeight="false" outlineLevel="0" collapsed="false">
      <c r="A1328" s="8" t="n">
        <v>112</v>
      </c>
      <c r="B1328" s="8" t="s">
        <v>1609</v>
      </c>
    </row>
    <row r="1329" customFormat="false" ht="15" hidden="false" customHeight="false" outlineLevel="0" collapsed="false">
      <c r="A1329" s="8" t="n">
        <v>180</v>
      </c>
      <c r="B1329" s="8" t="s">
        <v>1609</v>
      </c>
    </row>
    <row r="1330" customFormat="false" ht="15" hidden="false" customHeight="false" outlineLevel="0" collapsed="false">
      <c r="A1330" s="8" t="n">
        <v>193</v>
      </c>
      <c r="B1330" s="8" t="s">
        <v>1609</v>
      </c>
    </row>
    <row r="1331" customFormat="false" ht="15" hidden="false" customHeight="false" outlineLevel="0" collapsed="false">
      <c r="A1331" s="8" t="n">
        <v>2</v>
      </c>
      <c r="B1331" s="8" t="s">
        <v>1610</v>
      </c>
    </row>
    <row r="1332" customFormat="false" ht="15" hidden="false" customHeight="false" outlineLevel="0" collapsed="false">
      <c r="A1332" s="8" t="n">
        <v>3</v>
      </c>
      <c r="B1332" s="8" t="s">
        <v>1610</v>
      </c>
    </row>
    <row r="1333" customFormat="false" ht="15" hidden="false" customHeight="false" outlineLevel="0" collapsed="false">
      <c r="A1333" s="8" t="n">
        <v>13</v>
      </c>
      <c r="B1333" s="8" t="s">
        <v>1610</v>
      </c>
    </row>
    <row r="1334" customFormat="false" ht="15" hidden="false" customHeight="false" outlineLevel="0" collapsed="false">
      <c r="A1334" s="8" t="n">
        <v>14</v>
      </c>
      <c r="B1334" s="8" t="s">
        <v>1610</v>
      </c>
    </row>
    <row r="1335" customFormat="false" ht="15" hidden="false" customHeight="false" outlineLevel="0" collapsed="false">
      <c r="A1335" s="8" t="n">
        <v>17</v>
      </c>
      <c r="B1335" s="8" t="s">
        <v>1610</v>
      </c>
    </row>
    <row r="1336" customFormat="false" ht="15" hidden="false" customHeight="false" outlineLevel="0" collapsed="false">
      <c r="A1336" s="8" t="n">
        <v>29</v>
      </c>
      <c r="B1336" s="8" t="s">
        <v>1610</v>
      </c>
    </row>
    <row r="1337" customFormat="false" ht="15" hidden="false" customHeight="false" outlineLevel="0" collapsed="false">
      <c r="A1337" s="8" t="n">
        <v>31</v>
      </c>
      <c r="B1337" s="8" t="s">
        <v>1610</v>
      </c>
    </row>
    <row r="1338" customFormat="false" ht="15" hidden="false" customHeight="false" outlineLevel="0" collapsed="false">
      <c r="A1338" s="8" t="n">
        <v>33</v>
      </c>
      <c r="B1338" s="8" t="s">
        <v>1610</v>
      </c>
    </row>
    <row r="1339" customFormat="false" ht="15" hidden="false" customHeight="false" outlineLevel="0" collapsed="false">
      <c r="A1339" s="8" t="n">
        <v>34</v>
      </c>
      <c r="B1339" s="8" t="s">
        <v>1610</v>
      </c>
    </row>
    <row r="1340" customFormat="false" ht="15" hidden="false" customHeight="false" outlineLevel="0" collapsed="false">
      <c r="A1340" s="8" t="n">
        <v>38</v>
      </c>
      <c r="B1340" s="8" t="s">
        <v>1610</v>
      </c>
    </row>
    <row r="1341" customFormat="false" ht="15" hidden="false" customHeight="false" outlineLevel="0" collapsed="false">
      <c r="A1341" s="8" t="n">
        <v>43</v>
      </c>
      <c r="B1341" s="8" t="s">
        <v>1610</v>
      </c>
    </row>
    <row r="1342" customFormat="false" ht="15" hidden="false" customHeight="false" outlineLevel="0" collapsed="false">
      <c r="A1342" s="8" t="n">
        <v>46</v>
      </c>
      <c r="B1342" s="8" t="s">
        <v>1610</v>
      </c>
    </row>
    <row r="1343" customFormat="false" ht="15" hidden="false" customHeight="false" outlineLevel="0" collapsed="false">
      <c r="A1343" s="8" t="n">
        <v>49</v>
      </c>
      <c r="B1343" s="8" t="s">
        <v>1610</v>
      </c>
    </row>
    <row r="1344" customFormat="false" ht="15" hidden="false" customHeight="false" outlineLevel="0" collapsed="false">
      <c r="A1344" s="8" t="n">
        <v>54</v>
      </c>
      <c r="B1344" s="8" t="s">
        <v>1610</v>
      </c>
    </row>
    <row r="1345" customFormat="false" ht="15" hidden="false" customHeight="false" outlineLevel="0" collapsed="false">
      <c r="A1345" s="8" t="n">
        <v>56</v>
      </c>
      <c r="B1345" s="8" t="s">
        <v>1610</v>
      </c>
    </row>
    <row r="1346" customFormat="false" ht="15" hidden="false" customHeight="false" outlineLevel="0" collapsed="false">
      <c r="A1346" s="8" t="n">
        <v>63</v>
      </c>
      <c r="B1346" s="8" t="s">
        <v>1610</v>
      </c>
    </row>
    <row r="1347" customFormat="false" ht="15" hidden="false" customHeight="false" outlineLevel="0" collapsed="false">
      <c r="A1347" s="8" t="n">
        <v>71</v>
      </c>
      <c r="B1347" s="8" t="s">
        <v>1610</v>
      </c>
    </row>
    <row r="1348" customFormat="false" ht="15" hidden="false" customHeight="false" outlineLevel="0" collapsed="false">
      <c r="A1348" s="8" t="n">
        <v>103</v>
      </c>
      <c r="B1348" s="8" t="s">
        <v>1610</v>
      </c>
    </row>
    <row r="1349" customFormat="false" ht="15" hidden="false" customHeight="false" outlineLevel="0" collapsed="false">
      <c r="A1349" s="8" t="n">
        <v>107</v>
      </c>
      <c r="B1349" s="8" t="s">
        <v>1610</v>
      </c>
    </row>
    <row r="1350" customFormat="false" ht="15" hidden="false" customHeight="false" outlineLevel="0" collapsed="false">
      <c r="A1350" s="8" t="n">
        <v>112</v>
      </c>
      <c r="B1350" s="8" t="s">
        <v>1610</v>
      </c>
    </row>
    <row r="1351" customFormat="false" ht="15" hidden="false" customHeight="false" outlineLevel="0" collapsed="false">
      <c r="A1351" s="8" t="n">
        <v>124</v>
      </c>
      <c r="B1351" s="8" t="s">
        <v>1610</v>
      </c>
    </row>
    <row r="1352" customFormat="false" ht="15" hidden="false" customHeight="false" outlineLevel="0" collapsed="false">
      <c r="A1352" s="8" t="n">
        <v>128</v>
      </c>
      <c r="B1352" s="8" t="s">
        <v>1610</v>
      </c>
    </row>
    <row r="1353" customFormat="false" ht="15" hidden="false" customHeight="false" outlineLevel="0" collapsed="false">
      <c r="A1353" s="8" t="n">
        <v>132</v>
      </c>
      <c r="B1353" s="8" t="s">
        <v>1610</v>
      </c>
    </row>
    <row r="1354" customFormat="false" ht="15" hidden="false" customHeight="false" outlineLevel="0" collapsed="false">
      <c r="A1354" s="8" t="n">
        <v>141</v>
      </c>
      <c r="B1354" s="8" t="s">
        <v>1610</v>
      </c>
    </row>
    <row r="1355" customFormat="false" ht="15" hidden="false" customHeight="false" outlineLevel="0" collapsed="false">
      <c r="A1355" s="8" t="n">
        <v>144</v>
      </c>
      <c r="B1355" s="8" t="s">
        <v>1610</v>
      </c>
    </row>
    <row r="1356" customFormat="false" ht="15" hidden="false" customHeight="false" outlineLevel="0" collapsed="false">
      <c r="A1356" s="8" t="n">
        <v>145</v>
      </c>
      <c r="B1356" s="8" t="s">
        <v>1610</v>
      </c>
    </row>
    <row r="1357" customFormat="false" ht="15" hidden="false" customHeight="false" outlineLevel="0" collapsed="false">
      <c r="A1357" s="8" t="n">
        <v>151</v>
      </c>
      <c r="B1357" s="8" t="s">
        <v>1610</v>
      </c>
    </row>
    <row r="1358" customFormat="false" ht="15" hidden="false" customHeight="false" outlineLevel="0" collapsed="false">
      <c r="A1358" s="8" t="n">
        <v>154</v>
      </c>
      <c r="B1358" s="8" t="s">
        <v>1610</v>
      </c>
    </row>
    <row r="1359" customFormat="false" ht="15" hidden="false" customHeight="false" outlineLevel="0" collapsed="false">
      <c r="A1359" s="8" t="n">
        <v>155</v>
      </c>
      <c r="B1359" s="8" t="s">
        <v>1610</v>
      </c>
    </row>
    <row r="1360" customFormat="false" ht="15" hidden="false" customHeight="false" outlineLevel="0" collapsed="false">
      <c r="A1360" s="8" t="n">
        <v>193</v>
      </c>
      <c r="B1360" s="8" t="s">
        <v>1610</v>
      </c>
    </row>
    <row r="1361" customFormat="false" ht="15" hidden="false" customHeight="false" outlineLevel="0" collapsed="false">
      <c r="A1361" s="8" t="n">
        <v>196</v>
      </c>
      <c r="B1361" s="8" t="s">
        <v>1610</v>
      </c>
    </row>
    <row r="1362" customFormat="false" ht="15" hidden="false" customHeight="false" outlineLevel="0" collapsed="false">
      <c r="A1362" s="8" t="n">
        <v>216</v>
      </c>
      <c r="B1362" s="8" t="s">
        <v>1610</v>
      </c>
    </row>
    <row r="1363" customFormat="false" ht="15" hidden="false" customHeight="false" outlineLevel="0" collapsed="false">
      <c r="A1363" s="8" t="n">
        <v>222</v>
      </c>
      <c r="B1363" s="8" t="s">
        <v>1610</v>
      </c>
    </row>
    <row r="1364" customFormat="false" ht="15" hidden="false" customHeight="false" outlineLevel="0" collapsed="false">
      <c r="A1364" s="8" t="n">
        <v>65</v>
      </c>
      <c r="B1364" s="8" t="s">
        <v>1611</v>
      </c>
    </row>
    <row r="1365" customFormat="false" ht="15" hidden="false" customHeight="false" outlineLevel="0" collapsed="false">
      <c r="A1365" s="8" t="n">
        <v>199</v>
      </c>
      <c r="B1365" s="8" t="s">
        <v>1611</v>
      </c>
    </row>
    <row r="1366" customFormat="false" ht="15" hidden="false" customHeight="false" outlineLevel="0" collapsed="false">
      <c r="A1366" s="8" t="n">
        <v>54</v>
      </c>
      <c r="B1366" s="8" t="s">
        <v>1612</v>
      </c>
    </row>
    <row r="1367" customFormat="false" ht="15" hidden="false" customHeight="false" outlineLevel="0" collapsed="false">
      <c r="A1367" s="8" t="n">
        <v>107</v>
      </c>
      <c r="B1367" s="8" t="s">
        <v>1612</v>
      </c>
    </row>
    <row r="1368" customFormat="false" ht="15" hidden="false" customHeight="false" outlineLevel="0" collapsed="false">
      <c r="A1368" s="8" t="n">
        <v>122</v>
      </c>
      <c r="B1368" s="8" t="s">
        <v>1612</v>
      </c>
    </row>
    <row r="1369" customFormat="false" ht="15" hidden="false" customHeight="false" outlineLevel="0" collapsed="false">
      <c r="A1369" s="8" t="n">
        <v>166</v>
      </c>
      <c r="B1369" s="8" t="s">
        <v>1612</v>
      </c>
    </row>
    <row r="1370" customFormat="false" ht="15" hidden="false" customHeight="false" outlineLevel="0" collapsed="false">
      <c r="A1370" s="8" t="n">
        <v>198</v>
      </c>
      <c r="B1370" s="8" t="s">
        <v>1612</v>
      </c>
    </row>
    <row r="1371" customFormat="false" ht="15" hidden="false" customHeight="false" outlineLevel="0" collapsed="false">
      <c r="A1371" s="8" t="n">
        <v>216</v>
      </c>
      <c r="B1371" s="8" t="s">
        <v>1612</v>
      </c>
    </row>
    <row r="1372" customFormat="false" ht="15" hidden="false" customHeight="false" outlineLevel="0" collapsed="false">
      <c r="A1372" s="8" t="n">
        <v>227</v>
      </c>
      <c r="B1372" s="8" t="s">
        <v>1612</v>
      </c>
    </row>
    <row r="1373" customFormat="false" ht="15" hidden="false" customHeight="false" outlineLevel="0" collapsed="false">
      <c r="A1373" s="8" t="n">
        <v>1</v>
      </c>
      <c r="B1373" s="8" t="s">
        <v>1613</v>
      </c>
    </row>
    <row r="1374" customFormat="false" ht="15" hidden="false" customHeight="false" outlineLevel="0" collapsed="false">
      <c r="A1374" s="8" t="n">
        <v>2</v>
      </c>
      <c r="B1374" s="8" t="s">
        <v>1613</v>
      </c>
    </row>
    <row r="1375" customFormat="false" ht="15" hidden="false" customHeight="false" outlineLevel="0" collapsed="false">
      <c r="A1375" s="8" t="n">
        <v>4</v>
      </c>
      <c r="B1375" s="8" t="s">
        <v>1613</v>
      </c>
    </row>
    <row r="1376" customFormat="false" ht="15" hidden="false" customHeight="false" outlineLevel="0" collapsed="false">
      <c r="A1376" s="8" t="n">
        <v>6</v>
      </c>
      <c r="B1376" s="8" t="s">
        <v>1613</v>
      </c>
    </row>
    <row r="1377" customFormat="false" ht="15" hidden="false" customHeight="false" outlineLevel="0" collapsed="false">
      <c r="A1377" s="8" t="n">
        <v>10</v>
      </c>
      <c r="B1377" s="8" t="s">
        <v>1613</v>
      </c>
    </row>
    <row r="1378" customFormat="false" ht="15" hidden="false" customHeight="false" outlineLevel="0" collapsed="false">
      <c r="A1378" s="8" t="n">
        <v>11</v>
      </c>
      <c r="B1378" s="8" t="s">
        <v>1613</v>
      </c>
    </row>
    <row r="1379" customFormat="false" ht="15" hidden="false" customHeight="false" outlineLevel="0" collapsed="false">
      <c r="A1379" s="8" t="n">
        <v>14</v>
      </c>
      <c r="B1379" s="8" t="s">
        <v>1613</v>
      </c>
    </row>
    <row r="1380" customFormat="false" ht="15" hidden="false" customHeight="false" outlineLevel="0" collapsed="false">
      <c r="A1380" s="8" t="n">
        <v>19</v>
      </c>
      <c r="B1380" s="8" t="s">
        <v>1613</v>
      </c>
    </row>
    <row r="1381" customFormat="false" ht="15" hidden="false" customHeight="false" outlineLevel="0" collapsed="false">
      <c r="A1381" s="8" t="n">
        <v>20</v>
      </c>
      <c r="B1381" s="8" t="s">
        <v>1613</v>
      </c>
    </row>
    <row r="1382" customFormat="false" ht="15" hidden="false" customHeight="false" outlineLevel="0" collapsed="false">
      <c r="A1382" s="8" t="n">
        <v>22</v>
      </c>
      <c r="B1382" s="8" t="s">
        <v>1613</v>
      </c>
    </row>
    <row r="1383" customFormat="false" ht="15" hidden="false" customHeight="false" outlineLevel="0" collapsed="false">
      <c r="A1383" s="8" t="n">
        <v>24</v>
      </c>
      <c r="B1383" s="8" t="s">
        <v>1613</v>
      </c>
    </row>
    <row r="1384" customFormat="false" ht="15" hidden="false" customHeight="false" outlineLevel="0" collapsed="false">
      <c r="A1384" s="8" t="n">
        <v>25</v>
      </c>
      <c r="B1384" s="8" t="s">
        <v>1613</v>
      </c>
    </row>
    <row r="1385" customFormat="false" ht="15" hidden="false" customHeight="false" outlineLevel="0" collapsed="false">
      <c r="A1385" s="8" t="n">
        <v>28</v>
      </c>
      <c r="B1385" s="8" t="s">
        <v>1613</v>
      </c>
    </row>
    <row r="1386" customFormat="false" ht="15" hidden="false" customHeight="false" outlineLevel="0" collapsed="false">
      <c r="A1386" s="8" t="n">
        <v>29</v>
      </c>
      <c r="B1386" s="8" t="s">
        <v>1613</v>
      </c>
    </row>
    <row r="1387" customFormat="false" ht="15" hidden="false" customHeight="false" outlineLevel="0" collapsed="false">
      <c r="A1387" s="8" t="n">
        <v>34</v>
      </c>
      <c r="B1387" s="8" t="s">
        <v>1613</v>
      </c>
    </row>
    <row r="1388" customFormat="false" ht="15" hidden="false" customHeight="false" outlineLevel="0" collapsed="false">
      <c r="A1388" s="8" t="n">
        <v>36</v>
      </c>
      <c r="B1388" s="8" t="s">
        <v>1613</v>
      </c>
    </row>
    <row r="1389" customFormat="false" ht="15" hidden="false" customHeight="false" outlineLevel="0" collapsed="false">
      <c r="A1389" s="8" t="n">
        <v>37</v>
      </c>
      <c r="B1389" s="8" t="s">
        <v>1613</v>
      </c>
    </row>
    <row r="1390" customFormat="false" ht="15" hidden="false" customHeight="false" outlineLevel="0" collapsed="false">
      <c r="A1390" s="8" t="n">
        <v>38</v>
      </c>
      <c r="B1390" s="8" t="s">
        <v>1613</v>
      </c>
    </row>
    <row r="1391" customFormat="false" ht="15" hidden="false" customHeight="false" outlineLevel="0" collapsed="false">
      <c r="A1391" s="8" t="n">
        <v>41</v>
      </c>
      <c r="B1391" s="8" t="s">
        <v>1613</v>
      </c>
    </row>
    <row r="1392" customFormat="false" ht="15" hidden="false" customHeight="false" outlineLevel="0" collapsed="false">
      <c r="A1392" s="8" t="n">
        <v>42</v>
      </c>
      <c r="B1392" s="8" t="s">
        <v>1613</v>
      </c>
    </row>
    <row r="1393" customFormat="false" ht="15" hidden="false" customHeight="false" outlineLevel="0" collapsed="false">
      <c r="A1393" s="8" t="n">
        <v>43</v>
      </c>
      <c r="B1393" s="8" t="s">
        <v>1613</v>
      </c>
    </row>
    <row r="1394" customFormat="false" ht="15" hidden="false" customHeight="false" outlineLevel="0" collapsed="false">
      <c r="A1394" s="8" t="n">
        <v>44</v>
      </c>
      <c r="B1394" s="8" t="s">
        <v>1613</v>
      </c>
    </row>
    <row r="1395" customFormat="false" ht="15" hidden="false" customHeight="false" outlineLevel="0" collapsed="false">
      <c r="A1395" s="8" t="n">
        <v>46</v>
      </c>
      <c r="B1395" s="8" t="s">
        <v>1613</v>
      </c>
    </row>
    <row r="1396" customFormat="false" ht="15" hidden="false" customHeight="false" outlineLevel="0" collapsed="false">
      <c r="A1396" s="8" t="n">
        <v>48</v>
      </c>
      <c r="B1396" s="8" t="s">
        <v>1613</v>
      </c>
    </row>
    <row r="1397" customFormat="false" ht="15" hidden="false" customHeight="false" outlineLevel="0" collapsed="false">
      <c r="A1397" s="8" t="n">
        <v>50</v>
      </c>
      <c r="B1397" s="8" t="s">
        <v>1613</v>
      </c>
    </row>
    <row r="1398" customFormat="false" ht="15" hidden="false" customHeight="false" outlineLevel="0" collapsed="false">
      <c r="A1398" s="8" t="n">
        <v>53</v>
      </c>
      <c r="B1398" s="8" t="s">
        <v>1613</v>
      </c>
    </row>
    <row r="1399" customFormat="false" ht="15" hidden="false" customHeight="false" outlineLevel="0" collapsed="false">
      <c r="A1399" s="8" t="n">
        <v>54</v>
      </c>
      <c r="B1399" s="8" t="s">
        <v>1613</v>
      </c>
    </row>
    <row r="1400" customFormat="false" ht="15" hidden="false" customHeight="false" outlineLevel="0" collapsed="false">
      <c r="A1400" s="8" t="n">
        <v>61</v>
      </c>
      <c r="B1400" s="8" t="s">
        <v>1613</v>
      </c>
    </row>
    <row r="1401" customFormat="false" ht="15" hidden="false" customHeight="false" outlineLevel="0" collapsed="false">
      <c r="A1401" s="8" t="n">
        <v>63</v>
      </c>
      <c r="B1401" s="8" t="s">
        <v>1613</v>
      </c>
    </row>
    <row r="1402" customFormat="false" ht="15" hidden="false" customHeight="false" outlineLevel="0" collapsed="false">
      <c r="A1402" s="8" t="n">
        <v>64</v>
      </c>
      <c r="B1402" s="8" t="s">
        <v>1613</v>
      </c>
    </row>
    <row r="1403" customFormat="false" ht="15" hidden="false" customHeight="false" outlineLevel="0" collapsed="false">
      <c r="A1403" s="8" t="n">
        <v>66</v>
      </c>
      <c r="B1403" s="8" t="s">
        <v>1613</v>
      </c>
    </row>
    <row r="1404" customFormat="false" ht="15" hidden="false" customHeight="false" outlineLevel="0" collapsed="false">
      <c r="A1404" s="8" t="n">
        <v>67</v>
      </c>
      <c r="B1404" s="8" t="s">
        <v>1613</v>
      </c>
    </row>
    <row r="1405" customFormat="false" ht="15" hidden="false" customHeight="false" outlineLevel="0" collapsed="false">
      <c r="A1405" s="8" t="n">
        <v>72</v>
      </c>
      <c r="B1405" s="8" t="s">
        <v>1613</v>
      </c>
    </row>
    <row r="1406" customFormat="false" ht="15" hidden="false" customHeight="false" outlineLevel="0" collapsed="false">
      <c r="A1406" s="8" t="n">
        <v>74</v>
      </c>
      <c r="B1406" s="8" t="s">
        <v>1613</v>
      </c>
    </row>
    <row r="1407" customFormat="false" ht="15" hidden="false" customHeight="false" outlineLevel="0" collapsed="false">
      <c r="A1407" s="8" t="n">
        <v>75</v>
      </c>
      <c r="B1407" s="8" t="s">
        <v>1613</v>
      </c>
    </row>
    <row r="1408" customFormat="false" ht="15" hidden="false" customHeight="false" outlineLevel="0" collapsed="false">
      <c r="A1408" s="8" t="n">
        <v>77</v>
      </c>
      <c r="B1408" s="8" t="s">
        <v>1613</v>
      </c>
    </row>
    <row r="1409" customFormat="false" ht="15" hidden="false" customHeight="false" outlineLevel="0" collapsed="false">
      <c r="A1409" s="8" t="n">
        <v>78</v>
      </c>
      <c r="B1409" s="8" t="s">
        <v>1613</v>
      </c>
    </row>
    <row r="1410" customFormat="false" ht="15" hidden="false" customHeight="false" outlineLevel="0" collapsed="false">
      <c r="A1410" s="8" t="n">
        <v>79</v>
      </c>
      <c r="B1410" s="8" t="s">
        <v>1613</v>
      </c>
    </row>
    <row r="1411" customFormat="false" ht="15" hidden="false" customHeight="false" outlineLevel="0" collapsed="false">
      <c r="A1411" s="8" t="n">
        <v>82</v>
      </c>
      <c r="B1411" s="8" t="s">
        <v>1613</v>
      </c>
    </row>
    <row r="1412" customFormat="false" ht="15" hidden="false" customHeight="false" outlineLevel="0" collapsed="false">
      <c r="A1412" s="8" t="n">
        <v>84</v>
      </c>
      <c r="B1412" s="8" t="s">
        <v>1613</v>
      </c>
    </row>
    <row r="1413" customFormat="false" ht="15" hidden="false" customHeight="false" outlineLevel="0" collapsed="false">
      <c r="A1413" s="8" t="n">
        <v>87</v>
      </c>
      <c r="B1413" s="8" t="s">
        <v>1613</v>
      </c>
    </row>
    <row r="1414" customFormat="false" ht="15" hidden="false" customHeight="false" outlineLevel="0" collapsed="false">
      <c r="A1414" s="8" t="n">
        <v>88</v>
      </c>
      <c r="B1414" s="8" t="s">
        <v>1613</v>
      </c>
    </row>
    <row r="1415" customFormat="false" ht="15" hidden="false" customHeight="false" outlineLevel="0" collapsed="false">
      <c r="A1415" s="8" t="n">
        <v>89</v>
      </c>
      <c r="B1415" s="8" t="s">
        <v>1613</v>
      </c>
    </row>
    <row r="1416" customFormat="false" ht="15" hidden="false" customHeight="false" outlineLevel="0" collapsed="false">
      <c r="A1416" s="8" t="n">
        <v>91</v>
      </c>
      <c r="B1416" s="8" t="s">
        <v>1613</v>
      </c>
    </row>
    <row r="1417" customFormat="false" ht="15" hidden="false" customHeight="false" outlineLevel="0" collapsed="false">
      <c r="A1417" s="8" t="n">
        <v>92</v>
      </c>
      <c r="B1417" s="8" t="s">
        <v>1613</v>
      </c>
    </row>
    <row r="1418" customFormat="false" ht="15" hidden="false" customHeight="false" outlineLevel="0" collapsed="false">
      <c r="A1418" s="8" t="n">
        <v>94</v>
      </c>
      <c r="B1418" s="8" t="s">
        <v>1613</v>
      </c>
    </row>
    <row r="1419" customFormat="false" ht="15" hidden="false" customHeight="false" outlineLevel="0" collapsed="false">
      <c r="A1419" s="8" t="n">
        <v>95</v>
      </c>
      <c r="B1419" s="8" t="s">
        <v>1613</v>
      </c>
    </row>
    <row r="1420" customFormat="false" ht="15" hidden="false" customHeight="false" outlineLevel="0" collapsed="false">
      <c r="A1420" s="8" t="n">
        <v>97</v>
      </c>
      <c r="B1420" s="8" t="s">
        <v>1613</v>
      </c>
    </row>
    <row r="1421" customFormat="false" ht="15" hidden="false" customHeight="false" outlineLevel="0" collapsed="false">
      <c r="A1421" s="8" t="n">
        <v>98</v>
      </c>
      <c r="B1421" s="8" t="s">
        <v>1613</v>
      </c>
    </row>
    <row r="1422" customFormat="false" ht="15" hidden="false" customHeight="false" outlineLevel="0" collapsed="false">
      <c r="A1422" s="8" t="n">
        <v>100</v>
      </c>
      <c r="B1422" s="8" t="s">
        <v>1613</v>
      </c>
    </row>
    <row r="1423" customFormat="false" ht="15" hidden="false" customHeight="false" outlineLevel="0" collapsed="false">
      <c r="A1423" s="8" t="n">
        <v>103</v>
      </c>
      <c r="B1423" s="8" t="s">
        <v>1613</v>
      </c>
    </row>
    <row r="1424" customFormat="false" ht="15" hidden="false" customHeight="false" outlineLevel="0" collapsed="false">
      <c r="A1424" s="8" t="n">
        <v>104</v>
      </c>
      <c r="B1424" s="8" t="s">
        <v>1613</v>
      </c>
    </row>
    <row r="1425" customFormat="false" ht="15" hidden="false" customHeight="false" outlineLevel="0" collapsed="false">
      <c r="A1425" s="8" t="n">
        <v>109</v>
      </c>
      <c r="B1425" s="8" t="s">
        <v>1613</v>
      </c>
    </row>
    <row r="1426" customFormat="false" ht="15" hidden="false" customHeight="false" outlineLevel="0" collapsed="false">
      <c r="A1426" s="8" t="n">
        <v>112</v>
      </c>
      <c r="B1426" s="8" t="s">
        <v>1613</v>
      </c>
    </row>
    <row r="1427" customFormat="false" ht="15" hidden="false" customHeight="false" outlineLevel="0" collapsed="false">
      <c r="A1427" s="8" t="n">
        <v>113</v>
      </c>
      <c r="B1427" s="8" t="s">
        <v>1613</v>
      </c>
    </row>
    <row r="1428" customFormat="false" ht="15" hidden="false" customHeight="false" outlineLevel="0" collapsed="false">
      <c r="A1428" s="8" t="n">
        <v>114</v>
      </c>
      <c r="B1428" s="8" t="s">
        <v>1613</v>
      </c>
    </row>
    <row r="1429" customFormat="false" ht="15" hidden="false" customHeight="false" outlineLevel="0" collapsed="false">
      <c r="A1429" s="8" t="n">
        <v>115</v>
      </c>
      <c r="B1429" s="8" t="s">
        <v>1613</v>
      </c>
    </row>
    <row r="1430" customFormat="false" ht="15" hidden="false" customHeight="false" outlineLevel="0" collapsed="false">
      <c r="A1430" s="8" t="n">
        <v>117</v>
      </c>
      <c r="B1430" s="8" t="s">
        <v>1613</v>
      </c>
    </row>
    <row r="1431" customFormat="false" ht="15" hidden="false" customHeight="false" outlineLevel="0" collapsed="false">
      <c r="A1431" s="8" t="n">
        <v>119</v>
      </c>
      <c r="B1431" s="8" t="s">
        <v>1613</v>
      </c>
    </row>
    <row r="1432" customFormat="false" ht="15" hidden="false" customHeight="false" outlineLevel="0" collapsed="false">
      <c r="A1432" s="8" t="n">
        <v>120</v>
      </c>
      <c r="B1432" s="8" t="s">
        <v>1613</v>
      </c>
    </row>
    <row r="1433" customFormat="false" ht="15" hidden="false" customHeight="false" outlineLevel="0" collapsed="false">
      <c r="A1433" s="8" t="n">
        <v>123</v>
      </c>
      <c r="B1433" s="8" t="s">
        <v>1613</v>
      </c>
    </row>
    <row r="1434" customFormat="false" ht="15" hidden="false" customHeight="false" outlineLevel="0" collapsed="false">
      <c r="A1434" s="8" t="n">
        <v>125</v>
      </c>
      <c r="B1434" s="8" t="s">
        <v>1613</v>
      </c>
    </row>
    <row r="1435" customFormat="false" ht="15" hidden="false" customHeight="false" outlineLevel="0" collapsed="false">
      <c r="A1435" s="8" t="n">
        <v>126</v>
      </c>
      <c r="B1435" s="8" t="s">
        <v>1613</v>
      </c>
    </row>
    <row r="1436" customFormat="false" ht="15" hidden="false" customHeight="false" outlineLevel="0" collapsed="false">
      <c r="A1436" s="8" t="n">
        <v>128</v>
      </c>
      <c r="B1436" s="8" t="s">
        <v>1613</v>
      </c>
    </row>
    <row r="1437" customFormat="false" ht="15" hidden="false" customHeight="false" outlineLevel="0" collapsed="false">
      <c r="A1437" s="8" t="n">
        <v>129</v>
      </c>
      <c r="B1437" s="8" t="s">
        <v>1613</v>
      </c>
    </row>
    <row r="1438" customFormat="false" ht="15" hidden="false" customHeight="false" outlineLevel="0" collapsed="false">
      <c r="A1438" s="8" t="n">
        <v>130</v>
      </c>
      <c r="B1438" s="8" t="s">
        <v>1613</v>
      </c>
    </row>
    <row r="1439" customFormat="false" ht="15" hidden="false" customHeight="false" outlineLevel="0" collapsed="false">
      <c r="A1439" s="8" t="n">
        <v>132</v>
      </c>
      <c r="B1439" s="8" t="s">
        <v>1613</v>
      </c>
    </row>
    <row r="1440" customFormat="false" ht="15" hidden="false" customHeight="false" outlineLevel="0" collapsed="false">
      <c r="A1440" s="8" t="n">
        <v>133</v>
      </c>
      <c r="B1440" s="8" t="s">
        <v>1613</v>
      </c>
    </row>
    <row r="1441" customFormat="false" ht="15" hidden="false" customHeight="false" outlineLevel="0" collapsed="false">
      <c r="A1441" s="8" t="n">
        <v>135</v>
      </c>
      <c r="B1441" s="8" t="s">
        <v>1613</v>
      </c>
    </row>
    <row r="1442" customFormat="false" ht="15" hidden="false" customHeight="false" outlineLevel="0" collapsed="false">
      <c r="A1442" s="8" t="n">
        <v>136</v>
      </c>
      <c r="B1442" s="8" t="s">
        <v>1613</v>
      </c>
    </row>
    <row r="1443" customFormat="false" ht="15" hidden="false" customHeight="false" outlineLevel="0" collapsed="false">
      <c r="A1443" s="8" t="n">
        <v>137</v>
      </c>
      <c r="B1443" s="8" t="s">
        <v>1613</v>
      </c>
    </row>
    <row r="1444" customFormat="false" ht="15" hidden="false" customHeight="false" outlineLevel="0" collapsed="false">
      <c r="A1444" s="8" t="n">
        <v>138</v>
      </c>
      <c r="B1444" s="8" t="s">
        <v>1613</v>
      </c>
    </row>
    <row r="1445" customFormat="false" ht="15" hidden="false" customHeight="false" outlineLevel="0" collapsed="false">
      <c r="A1445" s="8" t="n">
        <v>139</v>
      </c>
      <c r="B1445" s="8" t="s">
        <v>1613</v>
      </c>
    </row>
    <row r="1446" customFormat="false" ht="15" hidden="false" customHeight="false" outlineLevel="0" collapsed="false">
      <c r="A1446" s="8" t="n">
        <v>140</v>
      </c>
      <c r="B1446" s="8" t="s">
        <v>1613</v>
      </c>
    </row>
    <row r="1447" customFormat="false" ht="15" hidden="false" customHeight="false" outlineLevel="0" collapsed="false">
      <c r="A1447" s="8" t="n">
        <v>141</v>
      </c>
      <c r="B1447" s="8" t="s">
        <v>1613</v>
      </c>
    </row>
    <row r="1448" customFormat="false" ht="15" hidden="false" customHeight="false" outlineLevel="0" collapsed="false">
      <c r="A1448" s="8" t="n">
        <v>143</v>
      </c>
      <c r="B1448" s="8" t="s">
        <v>1613</v>
      </c>
    </row>
    <row r="1449" customFormat="false" ht="15" hidden="false" customHeight="false" outlineLevel="0" collapsed="false">
      <c r="A1449" s="8" t="n">
        <v>144</v>
      </c>
      <c r="B1449" s="8" t="s">
        <v>1613</v>
      </c>
    </row>
    <row r="1450" customFormat="false" ht="15" hidden="false" customHeight="false" outlineLevel="0" collapsed="false">
      <c r="A1450" s="8" t="n">
        <v>145</v>
      </c>
      <c r="B1450" s="8" t="s">
        <v>1613</v>
      </c>
    </row>
    <row r="1451" customFormat="false" ht="15" hidden="false" customHeight="false" outlineLevel="0" collapsed="false">
      <c r="A1451" s="8" t="n">
        <v>148</v>
      </c>
      <c r="B1451" s="8" t="s">
        <v>1613</v>
      </c>
    </row>
    <row r="1452" customFormat="false" ht="15" hidden="false" customHeight="false" outlineLevel="0" collapsed="false">
      <c r="A1452" s="8" t="n">
        <v>150</v>
      </c>
      <c r="B1452" s="8" t="s">
        <v>1613</v>
      </c>
    </row>
    <row r="1453" customFormat="false" ht="15" hidden="false" customHeight="false" outlineLevel="0" collapsed="false">
      <c r="A1453" s="8" t="n">
        <v>151</v>
      </c>
      <c r="B1453" s="8" t="s">
        <v>1613</v>
      </c>
    </row>
    <row r="1454" customFormat="false" ht="15" hidden="false" customHeight="false" outlineLevel="0" collapsed="false">
      <c r="A1454" s="8" t="n">
        <v>153</v>
      </c>
      <c r="B1454" s="8" t="s">
        <v>1613</v>
      </c>
    </row>
    <row r="1455" customFormat="false" ht="15" hidden="false" customHeight="false" outlineLevel="0" collapsed="false">
      <c r="A1455" s="8" t="n">
        <v>154</v>
      </c>
      <c r="B1455" s="8" t="s">
        <v>1613</v>
      </c>
    </row>
    <row r="1456" customFormat="false" ht="15" hidden="false" customHeight="false" outlineLevel="0" collapsed="false">
      <c r="A1456" s="8" t="n">
        <v>155</v>
      </c>
      <c r="B1456" s="8" t="s">
        <v>1613</v>
      </c>
    </row>
    <row r="1457" customFormat="false" ht="15" hidden="false" customHeight="false" outlineLevel="0" collapsed="false">
      <c r="A1457" s="8" t="n">
        <v>156</v>
      </c>
      <c r="B1457" s="8" t="s">
        <v>1613</v>
      </c>
    </row>
    <row r="1458" customFormat="false" ht="15" hidden="false" customHeight="false" outlineLevel="0" collapsed="false">
      <c r="A1458" s="8" t="n">
        <v>160</v>
      </c>
      <c r="B1458" s="8" t="s">
        <v>1613</v>
      </c>
    </row>
    <row r="1459" customFormat="false" ht="15" hidden="false" customHeight="false" outlineLevel="0" collapsed="false">
      <c r="A1459" s="8" t="n">
        <v>161</v>
      </c>
      <c r="B1459" s="8" t="s">
        <v>1613</v>
      </c>
    </row>
    <row r="1460" customFormat="false" ht="15" hidden="false" customHeight="false" outlineLevel="0" collapsed="false">
      <c r="A1460" s="8" t="n">
        <v>165</v>
      </c>
      <c r="B1460" s="8" t="s">
        <v>1613</v>
      </c>
    </row>
    <row r="1461" customFormat="false" ht="15" hidden="false" customHeight="false" outlineLevel="0" collapsed="false">
      <c r="A1461" s="8" t="n">
        <v>167</v>
      </c>
      <c r="B1461" s="8" t="s">
        <v>1613</v>
      </c>
    </row>
    <row r="1462" customFormat="false" ht="15" hidden="false" customHeight="false" outlineLevel="0" collapsed="false">
      <c r="A1462" s="8" t="n">
        <v>168</v>
      </c>
      <c r="B1462" s="8" t="s">
        <v>1613</v>
      </c>
    </row>
    <row r="1463" customFormat="false" ht="15" hidden="false" customHeight="false" outlineLevel="0" collapsed="false">
      <c r="A1463" s="8" t="n">
        <v>173</v>
      </c>
      <c r="B1463" s="8" t="s">
        <v>1613</v>
      </c>
    </row>
    <row r="1464" customFormat="false" ht="15" hidden="false" customHeight="false" outlineLevel="0" collapsed="false">
      <c r="A1464" s="8" t="n">
        <v>174</v>
      </c>
      <c r="B1464" s="8" t="s">
        <v>1613</v>
      </c>
    </row>
    <row r="1465" customFormat="false" ht="15" hidden="false" customHeight="false" outlineLevel="0" collapsed="false">
      <c r="A1465" s="8" t="n">
        <v>175</v>
      </c>
      <c r="B1465" s="8" t="s">
        <v>1613</v>
      </c>
    </row>
    <row r="1466" customFormat="false" ht="15" hidden="false" customHeight="false" outlineLevel="0" collapsed="false">
      <c r="A1466" s="8" t="n">
        <v>180</v>
      </c>
      <c r="B1466" s="8" t="s">
        <v>1613</v>
      </c>
    </row>
    <row r="1467" customFormat="false" ht="15" hidden="false" customHeight="false" outlineLevel="0" collapsed="false">
      <c r="A1467" s="8" t="n">
        <v>182</v>
      </c>
      <c r="B1467" s="8" t="s">
        <v>1613</v>
      </c>
    </row>
    <row r="1468" customFormat="false" ht="15" hidden="false" customHeight="false" outlineLevel="0" collapsed="false">
      <c r="A1468" s="8" t="n">
        <v>187</v>
      </c>
      <c r="B1468" s="8" t="s">
        <v>1613</v>
      </c>
    </row>
    <row r="1469" customFormat="false" ht="15" hidden="false" customHeight="false" outlineLevel="0" collapsed="false">
      <c r="A1469" s="8" t="n">
        <v>190</v>
      </c>
      <c r="B1469" s="8" t="s">
        <v>1613</v>
      </c>
    </row>
    <row r="1470" customFormat="false" ht="15" hidden="false" customHeight="false" outlineLevel="0" collapsed="false">
      <c r="A1470" s="8" t="n">
        <v>192</v>
      </c>
      <c r="B1470" s="8" t="s">
        <v>1613</v>
      </c>
    </row>
    <row r="1471" customFormat="false" ht="15" hidden="false" customHeight="false" outlineLevel="0" collapsed="false">
      <c r="A1471" s="8" t="n">
        <v>199</v>
      </c>
      <c r="B1471" s="8" t="s">
        <v>1613</v>
      </c>
    </row>
    <row r="1472" customFormat="false" ht="15" hidden="false" customHeight="false" outlineLevel="0" collapsed="false">
      <c r="A1472" s="8" t="n">
        <v>213</v>
      </c>
      <c r="B1472" s="8" t="s">
        <v>1613</v>
      </c>
    </row>
    <row r="1473" customFormat="false" ht="15" hidden="false" customHeight="false" outlineLevel="0" collapsed="false">
      <c r="A1473" s="8" t="n">
        <v>214</v>
      </c>
      <c r="B1473" s="8" t="s">
        <v>1613</v>
      </c>
    </row>
    <row r="1474" customFormat="false" ht="15" hidden="false" customHeight="false" outlineLevel="0" collapsed="false">
      <c r="A1474" s="8" t="n">
        <v>215</v>
      </c>
      <c r="B1474" s="8" t="s">
        <v>1613</v>
      </c>
    </row>
    <row r="1475" customFormat="false" ht="15" hidden="false" customHeight="false" outlineLevel="0" collapsed="false">
      <c r="A1475" s="8" t="n">
        <v>217</v>
      </c>
      <c r="B1475" s="8" t="s">
        <v>1613</v>
      </c>
    </row>
    <row r="1476" customFormat="false" ht="15" hidden="false" customHeight="false" outlineLevel="0" collapsed="false">
      <c r="A1476" s="8" t="n">
        <v>218</v>
      </c>
      <c r="B1476" s="8" t="s">
        <v>1613</v>
      </c>
    </row>
    <row r="1477" customFormat="false" ht="15" hidden="false" customHeight="false" outlineLevel="0" collapsed="false">
      <c r="A1477" s="8" t="n">
        <v>219</v>
      </c>
      <c r="B1477" s="8" t="s">
        <v>1613</v>
      </c>
    </row>
    <row r="1478" customFormat="false" ht="15" hidden="false" customHeight="false" outlineLevel="0" collapsed="false">
      <c r="A1478" s="8" t="n">
        <v>220</v>
      </c>
      <c r="B1478" s="8" t="s">
        <v>1613</v>
      </c>
    </row>
    <row r="1479" customFormat="false" ht="15" hidden="false" customHeight="false" outlineLevel="0" collapsed="false">
      <c r="A1479" s="8" t="n">
        <v>221</v>
      </c>
      <c r="B1479" s="8" t="s">
        <v>1613</v>
      </c>
    </row>
    <row r="1480" customFormat="false" ht="15" hidden="false" customHeight="false" outlineLevel="0" collapsed="false">
      <c r="A1480" s="8" t="n">
        <v>223</v>
      </c>
      <c r="B1480" s="8" t="s">
        <v>1613</v>
      </c>
    </row>
    <row r="1481" customFormat="false" ht="15" hidden="false" customHeight="false" outlineLevel="0" collapsed="false">
      <c r="A1481" s="8" t="n">
        <v>225</v>
      </c>
      <c r="B1481" s="8" t="s">
        <v>1613</v>
      </c>
    </row>
    <row r="1482" customFormat="false" ht="15" hidden="false" customHeight="false" outlineLevel="0" collapsed="false">
      <c r="A1482" s="8" t="n">
        <v>228</v>
      </c>
      <c r="B1482" s="8" t="s">
        <v>1613</v>
      </c>
    </row>
    <row r="1483" customFormat="false" ht="15" hidden="false" customHeight="false" outlineLevel="0" collapsed="false">
      <c r="A1483" s="8" t="n">
        <v>24</v>
      </c>
      <c r="B1483" s="8" t="s">
        <v>1614</v>
      </c>
    </row>
    <row r="1484" customFormat="false" ht="15" hidden="false" customHeight="false" outlineLevel="0" collapsed="false">
      <c r="A1484" s="8" t="n">
        <v>31</v>
      </c>
      <c r="B1484" s="8" t="s">
        <v>1614</v>
      </c>
    </row>
    <row r="1485" customFormat="false" ht="15" hidden="false" customHeight="false" outlineLevel="0" collapsed="false">
      <c r="A1485" s="8" t="n">
        <v>115</v>
      </c>
      <c r="B1485" s="8" t="s">
        <v>1614</v>
      </c>
    </row>
    <row r="1486" customFormat="false" ht="15" hidden="false" customHeight="false" outlineLevel="0" collapsed="false">
      <c r="A1486" s="8" t="n">
        <v>120</v>
      </c>
      <c r="B1486" s="8" t="s">
        <v>1614</v>
      </c>
    </row>
    <row r="1487" customFormat="false" ht="15" hidden="false" customHeight="false" outlineLevel="0" collapsed="false">
      <c r="A1487" s="8" t="n">
        <v>167</v>
      </c>
      <c r="B1487" s="8" t="s">
        <v>1614</v>
      </c>
    </row>
    <row r="1488" customFormat="false" ht="15" hidden="false" customHeight="false" outlineLevel="0" collapsed="false">
      <c r="A1488" s="8" t="n">
        <v>109</v>
      </c>
      <c r="B1488" s="8" t="s">
        <v>1615</v>
      </c>
    </row>
    <row r="1489" customFormat="false" ht="15" hidden="false" customHeight="false" outlineLevel="0" collapsed="false">
      <c r="A1489" s="8" t="n">
        <v>200</v>
      </c>
      <c r="B1489" s="8" t="s">
        <v>1615</v>
      </c>
    </row>
    <row r="1490" customFormat="false" ht="15" hidden="false" customHeight="false" outlineLevel="0" collapsed="false">
      <c r="A1490" s="8" t="n">
        <v>57</v>
      </c>
      <c r="B1490" s="8" t="s">
        <v>1616</v>
      </c>
    </row>
    <row r="1491" customFormat="false" ht="15" hidden="false" customHeight="false" outlineLevel="0" collapsed="false">
      <c r="A1491" s="8" t="n">
        <v>67</v>
      </c>
      <c r="B1491" s="8" t="s">
        <v>1616</v>
      </c>
    </row>
    <row r="1492" customFormat="false" ht="15" hidden="false" customHeight="false" outlineLevel="0" collapsed="false">
      <c r="A1492" s="8" t="n">
        <v>68</v>
      </c>
      <c r="B1492" s="8" t="s">
        <v>1616</v>
      </c>
    </row>
    <row r="1493" customFormat="false" ht="15" hidden="false" customHeight="false" outlineLevel="0" collapsed="false">
      <c r="A1493" s="8" t="n">
        <v>199</v>
      </c>
      <c r="B1493" s="8" t="s">
        <v>1616</v>
      </c>
    </row>
    <row r="1494" customFormat="false" ht="15" hidden="false" customHeight="false" outlineLevel="0" collapsed="false">
      <c r="A1494" s="8" t="n">
        <v>130</v>
      </c>
      <c r="B1494" s="8" t="s">
        <v>1617</v>
      </c>
    </row>
    <row r="1495" customFormat="false" ht="15" hidden="false" customHeight="false" outlineLevel="0" collapsed="false">
      <c r="A1495" s="8" t="n">
        <v>80</v>
      </c>
      <c r="B1495" s="8" t="s">
        <v>1618</v>
      </c>
    </row>
    <row r="1496" customFormat="false" ht="15" hidden="false" customHeight="false" outlineLevel="0" collapsed="false">
      <c r="A1496" s="8" t="n">
        <v>130</v>
      </c>
      <c r="B1496" s="8" t="s">
        <v>1618</v>
      </c>
    </row>
    <row r="1497" customFormat="false" ht="15" hidden="false" customHeight="false" outlineLevel="0" collapsed="false">
      <c r="A1497" s="8" t="n">
        <v>49</v>
      </c>
      <c r="B1497" s="8" t="s">
        <v>1619</v>
      </c>
    </row>
    <row r="1498" customFormat="false" ht="15" hidden="false" customHeight="false" outlineLevel="0" collapsed="false">
      <c r="A1498" s="8" t="n">
        <v>98</v>
      </c>
      <c r="B1498" s="8" t="s">
        <v>1619</v>
      </c>
    </row>
    <row r="1499" customFormat="false" ht="15" hidden="false" customHeight="false" outlineLevel="0" collapsed="false">
      <c r="A1499" s="8" t="n">
        <v>132</v>
      </c>
      <c r="B1499" s="8" t="s">
        <v>1619</v>
      </c>
    </row>
    <row r="1500" customFormat="false" ht="15" hidden="false" customHeight="false" outlineLevel="0" collapsed="false">
      <c r="A1500" s="8" t="n">
        <v>209</v>
      </c>
      <c r="B1500" s="8" t="s">
        <v>1619</v>
      </c>
    </row>
    <row r="1501" customFormat="false" ht="15" hidden="false" customHeight="false" outlineLevel="0" collapsed="false">
      <c r="A1501" s="8" t="n">
        <v>53</v>
      </c>
      <c r="B1501" s="8" t="s">
        <v>1620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7" t="s">
        <v>1494</v>
      </c>
      <c r="B1" s="7" t="s">
        <v>1621</v>
      </c>
    </row>
    <row r="2" customFormat="false" ht="15" hidden="false" customHeight="false" outlineLevel="0" collapsed="false">
      <c r="A2" s="8" t="s">
        <v>1495</v>
      </c>
      <c r="B2" s="8" t="n">
        <f aca="false">COUNTIF('Project-Tags'!$B$2:$B$100000,A2)</f>
        <v>3</v>
      </c>
    </row>
    <row r="3" customFormat="false" ht="15" hidden="false" customHeight="false" outlineLevel="0" collapsed="false">
      <c r="A3" s="8" t="s">
        <v>1496</v>
      </c>
      <c r="B3" s="8" t="n">
        <f aca="false">COUNTIF('Project-Tags'!$B$2:$B$100000,A3)</f>
        <v>1</v>
      </c>
    </row>
    <row r="4" customFormat="false" ht="15" hidden="false" customHeight="false" outlineLevel="0" collapsed="false">
      <c r="A4" s="8" t="s">
        <v>1497</v>
      </c>
      <c r="B4" s="8" t="n">
        <f aca="false">COUNTIF('Project-Tags'!$B$2:$B$100000,A4)</f>
        <v>2</v>
      </c>
    </row>
    <row r="5" customFormat="false" ht="15" hidden="false" customHeight="false" outlineLevel="0" collapsed="false">
      <c r="A5" s="8" t="s">
        <v>1498</v>
      </c>
      <c r="B5" s="8" t="n">
        <f aca="false">COUNTIF('Project-Tags'!$B$2:$B$100000,A5)</f>
        <v>4</v>
      </c>
    </row>
    <row r="6" customFormat="false" ht="15" hidden="false" customHeight="false" outlineLevel="0" collapsed="false">
      <c r="A6" s="8" t="s">
        <v>1499</v>
      </c>
      <c r="B6" s="8" t="n">
        <f aca="false">COUNTIF('Project-Tags'!$B$2:$B$100000,A6)</f>
        <v>1</v>
      </c>
    </row>
    <row r="7" customFormat="false" ht="15" hidden="false" customHeight="false" outlineLevel="0" collapsed="false">
      <c r="A7" s="8" t="s">
        <v>1500</v>
      </c>
      <c r="B7" s="8" t="n">
        <f aca="false">COUNTIF('Project-Tags'!$B$2:$B$100000,A7)</f>
        <v>1</v>
      </c>
    </row>
    <row r="8" customFormat="false" ht="15" hidden="false" customHeight="false" outlineLevel="0" collapsed="false">
      <c r="A8" s="8" t="s">
        <v>1501</v>
      </c>
      <c r="B8" s="8" t="n">
        <f aca="false">COUNTIF('Project-Tags'!$B$2:$B$100000,A8)</f>
        <v>27</v>
      </c>
    </row>
    <row r="9" customFormat="false" ht="15" hidden="false" customHeight="false" outlineLevel="0" collapsed="false">
      <c r="A9" s="8" t="s">
        <v>1502</v>
      </c>
      <c r="B9" s="8" t="n">
        <f aca="false">COUNTIF('Project-Tags'!$B$2:$B$100000,A9)</f>
        <v>36</v>
      </c>
    </row>
    <row r="10" customFormat="false" ht="15" hidden="false" customHeight="false" outlineLevel="0" collapsed="false">
      <c r="A10" s="8" t="s">
        <v>1503</v>
      </c>
      <c r="B10" s="8" t="n">
        <f aca="false">COUNTIF('Project-Tags'!$B$2:$B$100000,A10)</f>
        <v>1</v>
      </c>
    </row>
    <row r="11" customFormat="false" ht="15" hidden="false" customHeight="false" outlineLevel="0" collapsed="false">
      <c r="A11" s="8" t="s">
        <v>1504</v>
      </c>
      <c r="B11" s="8" t="n">
        <f aca="false">COUNTIF('Project-Tags'!$B$2:$B$100000,A11)</f>
        <v>8</v>
      </c>
    </row>
    <row r="12" customFormat="false" ht="15" hidden="false" customHeight="false" outlineLevel="0" collapsed="false">
      <c r="A12" s="8" t="s">
        <v>1505</v>
      </c>
      <c r="B12" s="8" t="n">
        <f aca="false">COUNTIF('Project-Tags'!$B$2:$B$100000,A12)</f>
        <v>1</v>
      </c>
    </row>
    <row r="13" customFormat="false" ht="15" hidden="false" customHeight="false" outlineLevel="0" collapsed="false">
      <c r="A13" s="8" t="s">
        <v>1506</v>
      </c>
      <c r="B13" s="8" t="n">
        <f aca="false">COUNTIF('Project-Tags'!$B$2:$B$100000,A13)</f>
        <v>3</v>
      </c>
    </row>
    <row r="14" customFormat="false" ht="15" hidden="false" customHeight="false" outlineLevel="0" collapsed="false">
      <c r="A14" s="8" t="s">
        <v>1507</v>
      </c>
      <c r="B14" s="8" t="n">
        <f aca="false">COUNTIF('Project-Tags'!$B$2:$B$100000,A14)</f>
        <v>1</v>
      </c>
    </row>
    <row r="15" customFormat="false" ht="15" hidden="false" customHeight="false" outlineLevel="0" collapsed="false">
      <c r="A15" s="8" t="s">
        <v>1508</v>
      </c>
      <c r="B15" s="8" t="n">
        <f aca="false">COUNTIF('Project-Tags'!$B$2:$B$100000,A15)</f>
        <v>6</v>
      </c>
    </row>
    <row r="16" customFormat="false" ht="15" hidden="false" customHeight="false" outlineLevel="0" collapsed="false">
      <c r="A16" s="8" t="s">
        <v>1509</v>
      </c>
      <c r="B16" s="8" t="n">
        <f aca="false">COUNTIF('Project-Tags'!$B$2:$B$100000,A16)</f>
        <v>18</v>
      </c>
    </row>
    <row r="17" customFormat="false" ht="15" hidden="false" customHeight="false" outlineLevel="0" collapsed="false">
      <c r="A17" s="8" t="s">
        <v>1510</v>
      </c>
      <c r="B17" s="8" t="n">
        <f aca="false">COUNTIF('Project-Tags'!$B$2:$B$100000,A17)</f>
        <v>44</v>
      </c>
    </row>
    <row r="18" customFormat="false" ht="15" hidden="false" customHeight="false" outlineLevel="0" collapsed="false">
      <c r="A18" s="8" t="s">
        <v>1511</v>
      </c>
      <c r="B18" s="8" t="n">
        <f aca="false">COUNTIF('Project-Tags'!$B$2:$B$100000,A18)</f>
        <v>11</v>
      </c>
    </row>
    <row r="19" customFormat="false" ht="15" hidden="false" customHeight="false" outlineLevel="0" collapsed="false">
      <c r="A19" s="8" t="s">
        <v>1512</v>
      </c>
      <c r="B19" s="8" t="n">
        <f aca="false">COUNTIF('Project-Tags'!$B$2:$B$100000,A19)</f>
        <v>1</v>
      </c>
    </row>
    <row r="20" customFormat="false" ht="15" hidden="false" customHeight="false" outlineLevel="0" collapsed="false">
      <c r="A20" s="8" t="s">
        <v>1513</v>
      </c>
      <c r="B20" s="8" t="n">
        <f aca="false">COUNTIF('Project-Tags'!$B$2:$B$100000,A20)</f>
        <v>1</v>
      </c>
    </row>
    <row r="21" customFormat="false" ht="15" hidden="false" customHeight="false" outlineLevel="0" collapsed="false">
      <c r="A21" s="8" t="s">
        <v>1514</v>
      </c>
      <c r="B21" s="8" t="n">
        <f aca="false">COUNTIF('Project-Tags'!$B$2:$B$100000,A21)</f>
        <v>2</v>
      </c>
    </row>
    <row r="22" customFormat="false" ht="15" hidden="false" customHeight="false" outlineLevel="0" collapsed="false">
      <c r="A22" s="8" t="s">
        <v>1515</v>
      </c>
      <c r="B22" s="8" t="n">
        <f aca="false">COUNTIF('Project-Tags'!$B$2:$B$100000,A22)</f>
        <v>8</v>
      </c>
    </row>
    <row r="23" customFormat="false" ht="15" hidden="false" customHeight="false" outlineLevel="0" collapsed="false">
      <c r="A23" s="8" t="s">
        <v>1516</v>
      </c>
      <c r="B23" s="8" t="n">
        <f aca="false">COUNTIF('Project-Tags'!$B$2:$B$100000,A23)</f>
        <v>1</v>
      </c>
    </row>
    <row r="24" customFormat="false" ht="15" hidden="false" customHeight="false" outlineLevel="0" collapsed="false">
      <c r="A24" s="8" t="s">
        <v>1517</v>
      </c>
      <c r="B24" s="8" t="n">
        <f aca="false">COUNTIF('Project-Tags'!$B$2:$B$100000,A24)</f>
        <v>2</v>
      </c>
    </row>
    <row r="25" customFormat="false" ht="15" hidden="false" customHeight="false" outlineLevel="0" collapsed="false">
      <c r="A25" s="8" t="s">
        <v>1518</v>
      </c>
      <c r="B25" s="8" t="n">
        <f aca="false">COUNTIF('Project-Tags'!$B$2:$B$100000,A25)</f>
        <v>52</v>
      </c>
    </row>
    <row r="26" customFormat="false" ht="15" hidden="false" customHeight="false" outlineLevel="0" collapsed="false">
      <c r="A26" s="8" t="s">
        <v>1519</v>
      </c>
      <c r="B26" s="8" t="n">
        <f aca="false">COUNTIF('Project-Tags'!$B$2:$B$100000,A26)</f>
        <v>129</v>
      </c>
    </row>
    <row r="27" customFormat="false" ht="15" hidden="false" customHeight="false" outlineLevel="0" collapsed="false">
      <c r="A27" s="8" t="s">
        <v>1520</v>
      </c>
      <c r="B27" s="8" t="n">
        <f aca="false">COUNTIF('Project-Tags'!$B$2:$B$100000,A27)</f>
        <v>1</v>
      </c>
    </row>
    <row r="28" customFormat="false" ht="15" hidden="false" customHeight="false" outlineLevel="0" collapsed="false">
      <c r="A28" s="8" t="s">
        <v>1521</v>
      </c>
      <c r="B28" s="8" t="n">
        <f aca="false">COUNTIF('Project-Tags'!$B$2:$B$100000,A28)</f>
        <v>1</v>
      </c>
    </row>
    <row r="29" customFormat="false" ht="15" hidden="false" customHeight="false" outlineLevel="0" collapsed="false">
      <c r="A29" s="8" t="s">
        <v>1522</v>
      </c>
      <c r="B29" s="8" t="n">
        <f aca="false">COUNTIF('Project-Tags'!$B$2:$B$100000,A29)</f>
        <v>10</v>
      </c>
    </row>
    <row r="30" customFormat="false" ht="15" hidden="false" customHeight="false" outlineLevel="0" collapsed="false">
      <c r="A30" s="8" t="s">
        <v>1523</v>
      </c>
      <c r="B30" s="8" t="n">
        <f aca="false">COUNTIF('Project-Tags'!$B$2:$B$100000,A30)</f>
        <v>3</v>
      </c>
    </row>
    <row r="31" customFormat="false" ht="15" hidden="false" customHeight="false" outlineLevel="0" collapsed="false">
      <c r="A31" s="8" t="s">
        <v>1524</v>
      </c>
      <c r="B31" s="8" t="n">
        <f aca="false">COUNTIF('Project-Tags'!$B$2:$B$100000,A31)</f>
        <v>26</v>
      </c>
    </row>
    <row r="32" customFormat="false" ht="15" hidden="false" customHeight="false" outlineLevel="0" collapsed="false">
      <c r="A32" s="8" t="s">
        <v>1525</v>
      </c>
      <c r="B32" s="8" t="n">
        <f aca="false">COUNTIF('Project-Tags'!$B$2:$B$100000,A32)</f>
        <v>4</v>
      </c>
    </row>
    <row r="33" customFormat="false" ht="15" hidden="false" customHeight="false" outlineLevel="0" collapsed="false">
      <c r="A33" s="8" t="s">
        <v>1526</v>
      </c>
      <c r="B33" s="8" t="n">
        <f aca="false">COUNTIF('Project-Tags'!$B$2:$B$100000,A33)</f>
        <v>73</v>
      </c>
    </row>
    <row r="34" customFormat="false" ht="15" hidden="false" customHeight="false" outlineLevel="0" collapsed="false">
      <c r="A34" s="8" t="s">
        <v>1527</v>
      </c>
      <c r="B34" s="8" t="n">
        <f aca="false">COUNTIF('Project-Tags'!$B$2:$B$100000,A34)</f>
        <v>2</v>
      </c>
    </row>
    <row r="35" customFormat="false" ht="15" hidden="false" customHeight="false" outlineLevel="0" collapsed="false">
      <c r="A35" s="8" t="s">
        <v>1528</v>
      </c>
      <c r="B35" s="8" t="n">
        <f aca="false">COUNTIF('Project-Tags'!$B$2:$B$100000,A35)</f>
        <v>1</v>
      </c>
    </row>
    <row r="36" customFormat="false" ht="15" hidden="false" customHeight="false" outlineLevel="0" collapsed="false">
      <c r="A36" s="8" t="s">
        <v>1529</v>
      </c>
      <c r="B36" s="8" t="n">
        <f aca="false">COUNTIF('Project-Tags'!$B$2:$B$100000,A36)</f>
        <v>3</v>
      </c>
    </row>
    <row r="37" customFormat="false" ht="15" hidden="false" customHeight="false" outlineLevel="0" collapsed="false">
      <c r="A37" s="8" t="s">
        <v>1530</v>
      </c>
      <c r="B37" s="8" t="n">
        <f aca="false">COUNTIF('Project-Tags'!$B$2:$B$100000,A37)</f>
        <v>4</v>
      </c>
    </row>
    <row r="38" customFormat="false" ht="15" hidden="false" customHeight="false" outlineLevel="0" collapsed="false">
      <c r="A38" s="8" t="s">
        <v>1531</v>
      </c>
      <c r="B38" s="8" t="n">
        <f aca="false">COUNTIF('Project-Tags'!$B$2:$B$100000,A38)</f>
        <v>12</v>
      </c>
    </row>
    <row r="39" customFormat="false" ht="15" hidden="false" customHeight="false" outlineLevel="0" collapsed="false">
      <c r="A39" s="8" t="s">
        <v>1532</v>
      </c>
      <c r="B39" s="8" t="n">
        <f aca="false">COUNTIF('Project-Tags'!$B$2:$B$100000,A39)</f>
        <v>2</v>
      </c>
    </row>
    <row r="40" customFormat="false" ht="15" hidden="false" customHeight="false" outlineLevel="0" collapsed="false">
      <c r="A40" s="8" t="s">
        <v>1533</v>
      </c>
      <c r="B40" s="8" t="n">
        <f aca="false">COUNTIF('Project-Tags'!$B$2:$B$100000,A40)</f>
        <v>3</v>
      </c>
    </row>
    <row r="41" customFormat="false" ht="15" hidden="false" customHeight="false" outlineLevel="0" collapsed="false">
      <c r="A41" s="8" t="s">
        <v>1534</v>
      </c>
      <c r="B41" s="8" t="n">
        <f aca="false">COUNTIF('Project-Tags'!$B$2:$B$100000,A41)</f>
        <v>1</v>
      </c>
    </row>
    <row r="42" customFormat="false" ht="15" hidden="false" customHeight="false" outlineLevel="0" collapsed="false">
      <c r="A42" s="8" t="s">
        <v>1535</v>
      </c>
      <c r="B42" s="8" t="n">
        <f aca="false">COUNTIF('Project-Tags'!$B$2:$B$100000,A42)</f>
        <v>1</v>
      </c>
    </row>
    <row r="43" customFormat="false" ht="15" hidden="false" customHeight="false" outlineLevel="0" collapsed="false">
      <c r="A43" s="8" t="s">
        <v>1536</v>
      </c>
      <c r="B43" s="8" t="n">
        <f aca="false">COUNTIF('Project-Tags'!$B$2:$B$100000,A43)</f>
        <v>38</v>
      </c>
    </row>
    <row r="44" customFormat="false" ht="15" hidden="false" customHeight="false" outlineLevel="0" collapsed="false">
      <c r="A44" s="8" t="s">
        <v>1537</v>
      </c>
      <c r="B44" s="8" t="n">
        <f aca="false">COUNTIF('Project-Tags'!$B$2:$B$100000,A44)</f>
        <v>1</v>
      </c>
    </row>
    <row r="45" customFormat="false" ht="15" hidden="false" customHeight="false" outlineLevel="0" collapsed="false">
      <c r="A45" s="8" t="s">
        <v>1538</v>
      </c>
      <c r="B45" s="8" t="n">
        <f aca="false">COUNTIF('Project-Tags'!$B$2:$B$100000,A45)</f>
        <v>2</v>
      </c>
    </row>
    <row r="46" customFormat="false" ht="15" hidden="false" customHeight="false" outlineLevel="0" collapsed="false">
      <c r="A46" s="8" t="s">
        <v>1539</v>
      </c>
      <c r="B46" s="8" t="n">
        <f aca="false">COUNTIF('Project-Tags'!$B$2:$B$100000,A46)</f>
        <v>11</v>
      </c>
    </row>
    <row r="47" customFormat="false" ht="15" hidden="false" customHeight="false" outlineLevel="0" collapsed="false">
      <c r="A47" s="8" t="s">
        <v>1540</v>
      </c>
      <c r="B47" s="8" t="n">
        <f aca="false">COUNTIF('Project-Tags'!$B$2:$B$100000,A47)</f>
        <v>12</v>
      </c>
    </row>
    <row r="48" customFormat="false" ht="15" hidden="false" customHeight="false" outlineLevel="0" collapsed="false">
      <c r="A48" s="8" t="s">
        <v>1541</v>
      </c>
      <c r="B48" s="8" t="n">
        <f aca="false">COUNTIF('Project-Tags'!$B$2:$B$100000,A48)</f>
        <v>100</v>
      </c>
    </row>
    <row r="49" customFormat="false" ht="15" hidden="false" customHeight="false" outlineLevel="0" collapsed="false">
      <c r="A49" s="8" t="s">
        <v>1542</v>
      </c>
      <c r="B49" s="8" t="n">
        <f aca="false">COUNTIF('Project-Tags'!$B$2:$B$100000,A49)</f>
        <v>28</v>
      </c>
    </row>
    <row r="50" customFormat="false" ht="15" hidden="false" customHeight="false" outlineLevel="0" collapsed="false">
      <c r="A50" s="8" t="s">
        <v>1543</v>
      </c>
      <c r="B50" s="8" t="n">
        <f aca="false">COUNTIF('Project-Tags'!$B$2:$B$100000,A50)</f>
        <v>8</v>
      </c>
    </row>
    <row r="51" customFormat="false" ht="15" hidden="false" customHeight="false" outlineLevel="0" collapsed="false">
      <c r="A51" s="8" t="s">
        <v>1544</v>
      </c>
      <c r="B51" s="8" t="n">
        <f aca="false">COUNTIF('Project-Tags'!$B$2:$B$100000,A51)</f>
        <v>22</v>
      </c>
    </row>
    <row r="52" customFormat="false" ht="15" hidden="false" customHeight="false" outlineLevel="0" collapsed="false">
      <c r="A52" s="8" t="s">
        <v>1545</v>
      </c>
      <c r="B52" s="8" t="n">
        <f aca="false">COUNTIF('Project-Tags'!$B$2:$B$100000,A52)</f>
        <v>13</v>
      </c>
    </row>
    <row r="53" customFormat="false" ht="15" hidden="false" customHeight="false" outlineLevel="0" collapsed="false">
      <c r="A53" s="8" t="s">
        <v>1546</v>
      </c>
      <c r="B53" s="8" t="n">
        <f aca="false">COUNTIF('Project-Tags'!$B$2:$B$100000,A53)</f>
        <v>16</v>
      </c>
    </row>
    <row r="54" customFormat="false" ht="15" hidden="false" customHeight="false" outlineLevel="0" collapsed="false">
      <c r="A54" s="8" t="s">
        <v>1547</v>
      </c>
      <c r="B54" s="8" t="n">
        <f aca="false">COUNTIF('Project-Tags'!$B$2:$B$100000,A54)</f>
        <v>7</v>
      </c>
    </row>
    <row r="55" customFormat="false" ht="15" hidden="false" customHeight="false" outlineLevel="0" collapsed="false">
      <c r="A55" s="8" t="s">
        <v>1548</v>
      </c>
      <c r="B55" s="8" t="n">
        <f aca="false">COUNTIF('Project-Tags'!$B$2:$B$100000,A55)</f>
        <v>8</v>
      </c>
    </row>
    <row r="56" customFormat="false" ht="15" hidden="false" customHeight="false" outlineLevel="0" collapsed="false">
      <c r="A56" s="8" t="s">
        <v>1549</v>
      </c>
      <c r="B56" s="8" t="n">
        <f aca="false">COUNTIF('Project-Tags'!$B$2:$B$100000,A56)</f>
        <v>23</v>
      </c>
    </row>
    <row r="57" customFormat="false" ht="15" hidden="false" customHeight="false" outlineLevel="0" collapsed="false">
      <c r="A57" s="8" t="s">
        <v>1550</v>
      </c>
      <c r="B57" s="8" t="n">
        <f aca="false">COUNTIF('Project-Tags'!$B$2:$B$100000,A57)</f>
        <v>4</v>
      </c>
    </row>
    <row r="58" customFormat="false" ht="15" hidden="false" customHeight="false" outlineLevel="0" collapsed="false">
      <c r="A58" s="8" t="s">
        <v>1551</v>
      </c>
      <c r="B58" s="8" t="n">
        <f aca="false">COUNTIF('Project-Tags'!$B$2:$B$100000,A58)</f>
        <v>1</v>
      </c>
    </row>
    <row r="59" customFormat="false" ht="15" hidden="false" customHeight="false" outlineLevel="0" collapsed="false">
      <c r="A59" s="8" t="s">
        <v>1552</v>
      </c>
      <c r="B59" s="8" t="n">
        <f aca="false">COUNTIF('Project-Tags'!$B$2:$B$100000,A59)</f>
        <v>36</v>
      </c>
    </row>
    <row r="60" customFormat="false" ht="15" hidden="false" customHeight="false" outlineLevel="0" collapsed="false">
      <c r="A60" s="8" t="s">
        <v>1553</v>
      </c>
      <c r="B60" s="8" t="n">
        <f aca="false">COUNTIF('Project-Tags'!$B$2:$B$100000,A60)</f>
        <v>2</v>
      </c>
    </row>
    <row r="61" customFormat="false" ht="15" hidden="false" customHeight="false" outlineLevel="0" collapsed="false">
      <c r="A61" s="8" t="s">
        <v>1554</v>
      </c>
      <c r="B61" s="8" t="n">
        <f aca="false">COUNTIF('Project-Tags'!$B$2:$B$100000,A61)</f>
        <v>1</v>
      </c>
    </row>
    <row r="62" customFormat="false" ht="15" hidden="false" customHeight="false" outlineLevel="0" collapsed="false">
      <c r="A62" s="8" t="s">
        <v>1555</v>
      </c>
      <c r="B62" s="8" t="n">
        <f aca="false">COUNTIF('Project-Tags'!$B$2:$B$100000,A62)</f>
        <v>25</v>
      </c>
    </row>
    <row r="63" customFormat="false" ht="15" hidden="false" customHeight="false" outlineLevel="0" collapsed="false">
      <c r="A63" s="8" t="s">
        <v>1556</v>
      </c>
      <c r="B63" s="8" t="n">
        <f aca="false">COUNTIF('Project-Tags'!$B$2:$B$100000,A63)</f>
        <v>10</v>
      </c>
    </row>
    <row r="64" customFormat="false" ht="15" hidden="false" customHeight="false" outlineLevel="0" collapsed="false">
      <c r="A64" s="8" t="s">
        <v>1557</v>
      </c>
      <c r="B64" s="8" t="n">
        <f aca="false">COUNTIF('Project-Tags'!$B$2:$B$100000,A64)</f>
        <v>2</v>
      </c>
    </row>
    <row r="65" customFormat="false" ht="15" hidden="false" customHeight="false" outlineLevel="0" collapsed="false">
      <c r="A65" s="8" t="s">
        <v>1558</v>
      </c>
      <c r="B65" s="8" t="n">
        <f aca="false">COUNTIF('Project-Tags'!$B$2:$B$100000,A65)</f>
        <v>2</v>
      </c>
    </row>
    <row r="66" customFormat="false" ht="15" hidden="false" customHeight="false" outlineLevel="0" collapsed="false">
      <c r="A66" s="8" t="s">
        <v>1559</v>
      </c>
      <c r="B66" s="8" t="n">
        <f aca="false">COUNTIF('Project-Tags'!$B$2:$B$100000,A66)</f>
        <v>2</v>
      </c>
    </row>
    <row r="67" customFormat="false" ht="15" hidden="false" customHeight="false" outlineLevel="0" collapsed="false">
      <c r="A67" s="8" t="s">
        <v>1560</v>
      </c>
      <c r="B67" s="8" t="n">
        <f aca="false">COUNTIF('Project-Tags'!$B$2:$B$100000,A67)</f>
        <v>1</v>
      </c>
    </row>
    <row r="68" customFormat="false" ht="15" hidden="false" customHeight="false" outlineLevel="0" collapsed="false">
      <c r="A68" s="8" t="s">
        <v>1561</v>
      </c>
      <c r="B68" s="8" t="n">
        <f aca="false">COUNTIF('Project-Tags'!$B$2:$B$100000,A68)</f>
        <v>53</v>
      </c>
    </row>
    <row r="69" customFormat="false" ht="15" hidden="false" customHeight="false" outlineLevel="0" collapsed="false">
      <c r="A69" s="8" t="s">
        <v>1562</v>
      </c>
      <c r="B69" s="8" t="n">
        <f aca="false">COUNTIF('Project-Tags'!$B$2:$B$100000,A69)</f>
        <v>15</v>
      </c>
    </row>
    <row r="70" customFormat="false" ht="15" hidden="false" customHeight="false" outlineLevel="0" collapsed="false">
      <c r="A70" s="8" t="s">
        <v>1563</v>
      </c>
      <c r="B70" s="8" t="n">
        <f aca="false">COUNTIF('Project-Tags'!$B$2:$B$100000,A70)</f>
        <v>1</v>
      </c>
    </row>
    <row r="71" customFormat="false" ht="15" hidden="false" customHeight="false" outlineLevel="0" collapsed="false">
      <c r="A71" s="8" t="s">
        <v>1564</v>
      </c>
      <c r="B71" s="8" t="n">
        <f aca="false">COUNTIF('Project-Tags'!$B$2:$B$100000,A71)</f>
        <v>3</v>
      </c>
    </row>
    <row r="72" customFormat="false" ht="15" hidden="false" customHeight="false" outlineLevel="0" collapsed="false">
      <c r="A72" s="8" t="s">
        <v>1565</v>
      </c>
      <c r="B72" s="8" t="n">
        <f aca="false">COUNTIF('Project-Tags'!$B$2:$B$100000,A72)</f>
        <v>1</v>
      </c>
    </row>
    <row r="73" customFormat="false" ht="15" hidden="false" customHeight="false" outlineLevel="0" collapsed="false">
      <c r="A73" s="8" t="s">
        <v>1566</v>
      </c>
      <c r="B73" s="8" t="n">
        <f aca="false">COUNTIF('Project-Tags'!$B$2:$B$100000,A73)</f>
        <v>1</v>
      </c>
    </row>
    <row r="74" customFormat="false" ht="15" hidden="false" customHeight="false" outlineLevel="0" collapsed="false">
      <c r="A74" s="8" t="s">
        <v>1567</v>
      </c>
      <c r="B74" s="8" t="n">
        <f aca="false">COUNTIF('Project-Tags'!$B$2:$B$100000,A74)</f>
        <v>10</v>
      </c>
    </row>
    <row r="75" customFormat="false" ht="15" hidden="false" customHeight="false" outlineLevel="0" collapsed="false">
      <c r="A75" s="8" t="s">
        <v>1568</v>
      </c>
      <c r="B75" s="8" t="n">
        <f aca="false">COUNTIF('Project-Tags'!$B$2:$B$100000,A75)</f>
        <v>2</v>
      </c>
    </row>
    <row r="76" customFormat="false" ht="15" hidden="false" customHeight="false" outlineLevel="0" collapsed="false">
      <c r="A76" s="8" t="s">
        <v>1569</v>
      </c>
      <c r="B76" s="8" t="n">
        <f aca="false">COUNTIF('Project-Tags'!$B$2:$B$100000,A76)</f>
        <v>2</v>
      </c>
    </row>
    <row r="77" customFormat="false" ht="15" hidden="false" customHeight="false" outlineLevel="0" collapsed="false">
      <c r="A77" s="8" t="s">
        <v>1570</v>
      </c>
      <c r="B77" s="8" t="n">
        <f aca="false">COUNTIF('Project-Tags'!$B$2:$B$100000,A77)</f>
        <v>8</v>
      </c>
    </row>
    <row r="78" customFormat="false" ht="15" hidden="false" customHeight="false" outlineLevel="0" collapsed="false">
      <c r="A78" s="8" t="s">
        <v>1571</v>
      </c>
      <c r="B78" s="8" t="n">
        <f aca="false">COUNTIF('Project-Tags'!$B$2:$B$100000,A78)</f>
        <v>49</v>
      </c>
    </row>
    <row r="79" customFormat="false" ht="15" hidden="false" customHeight="false" outlineLevel="0" collapsed="false">
      <c r="A79" s="8" t="s">
        <v>1572</v>
      </c>
      <c r="B79" s="8" t="n">
        <f aca="false">COUNTIF('Project-Tags'!$B$2:$B$100000,A79)</f>
        <v>2</v>
      </c>
    </row>
    <row r="80" customFormat="false" ht="15" hidden="false" customHeight="false" outlineLevel="0" collapsed="false">
      <c r="A80" s="8" t="s">
        <v>1573</v>
      </c>
      <c r="B80" s="8" t="n">
        <f aca="false">COUNTIF('Project-Tags'!$B$2:$B$100000,A80)</f>
        <v>4</v>
      </c>
    </row>
    <row r="81" customFormat="false" ht="15" hidden="false" customHeight="false" outlineLevel="0" collapsed="false">
      <c r="A81" s="8" t="s">
        <v>1574</v>
      </c>
      <c r="B81" s="8" t="n">
        <f aca="false">COUNTIF('Project-Tags'!$B$2:$B$100000,A81)</f>
        <v>3</v>
      </c>
    </row>
    <row r="82" customFormat="false" ht="15" hidden="false" customHeight="false" outlineLevel="0" collapsed="false">
      <c r="A82" s="8" t="s">
        <v>1575</v>
      </c>
      <c r="B82" s="8" t="n">
        <f aca="false">COUNTIF('Project-Tags'!$B$2:$B$100000,A82)</f>
        <v>20</v>
      </c>
    </row>
    <row r="83" customFormat="false" ht="15" hidden="false" customHeight="false" outlineLevel="0" collapsed="false">
      <c r="A83" s="8" t="s">
        <v>1576</v>
      </c>
      <c r="B83" s="8" t="n">
        <f aca="false">COUNTIF('Project-Tags'!$B$2:$B$100000,A83)</f>
        <v>3</v>
      </c>
    </row>
    <row r="84" customFormat="false" ht="15" hidden="false" customHeight="false" outlineLevel="0" collapsed="false">
      <c r="A84" s="8" t="s">
        <v>1577</v>
      </c>
      <c r="B84" s="8" t="n">
        <f aca="false">COUNTIF('Project-Tags'!$B$2:$B$100000,A84)</f>
        <v>1</v>
      </c>
    </row>
    <row r="85" customFormat="false" ht="15" hidden="false" customHeight="false" outlineLevel="0" collapsed="false">
      <c r="A85" s="8" t="s">
        <v>1578</v>
      </c>
      <c r="B85" s="8" t="n">
        <f aca="false">COUNTIF('Project-Tags'!$B$2:$B$100000,A85)</f>
        <v>1</v>
      </c>
    </row>
    <row r="86" customFormat="false" ht="15" hidden="false" customHeight="false" outlineLevel="0" collapsed="false">
      <c r="A86" s="8" t="s">
        <v>1579</v>
      </c>
      <c r="B86" s="8" t="n">
        <f aca="false">COUNTIF('Project-Tags'!$B$2:$B$100000,A86)</f>
        <v>3</v>
      </c>
    </row>
    <row r="87" customFormat="false" ht="15" hidden="false" customHeight="false" outlineLevel="0" collapsed="false">
      <c r="A87" s="8" t="s">
        <v>1580</v>
      </c>
      <c r="B87" s="8" t="n">
        <f aca="false">COUNTIF('Project-Tags'!$B$2:$B$100000,A87)</f>
        <v>1</v>
      </c>
    </row>
    <row r="88" customFormat="false" ht="15" hidden="false" customHeight="false" outlineLevel="0" collapsed="false">
      <c r="A88" s="8" t="s">
        <v>1581</v>
      </c>
      <c r="B88" s="8" t="n">
        <f aca="false">COUNTIF('Project-Tags'!$B$2:$B$100000,A88)</f>
        <v>5</v>
      </c>
    </row>
    <row r="89" customFormat="false" ht="15" hidden="false" customHeight="false" outlineLevel="0" collapsed="false">
      <c r="A89" s="8" t="s">
        <v>1582</v>
      </c>
      <c r="B89" s="8" t="n">
        <f aca="false">COUNTIF('Project-Tags'!$B$2:$B$100000,A89)</f>
        <v>22</v>
      </c>
    </row>
    <row r="90" customFormat="false" ht="15" hidden="false" customHeight="false" outlineLevel="0" collapsed="false">
      <c r="A90" s="8" t="s">
        <v>1583</v>
      </c>
      <c r="B90" s="8" t="n">
        <f aca="false">COUNTIF('Project-Tags'!$B$2:$B$100000,A90)</f>
        <v>2</v>
      </c>
    </row>
    <row r="91" customFormat="false" ht="15" hidden="false" customHeight="false" outlineLevel="0" collapsed="false">
      <c r="A91" s="8" t="s">
        <v>1584</v>
      </c>
      <c r="B91" s="8" t="n">
        <f aca="false">COUNTIF('Project-Tags'!$B$2:$B$100000,A91)</f>
        <v>2</v>
      </c>
    </row>
    <row r="92" customFormat="false" ht="15" hidden="false" customHeight="false" outlineLevel="0" collapsed="false">
      <c r="A92" s="8" t="s">
        <v>1585</v>
      </c>
      <c r="B92" s="8" t="n">
        <f aca="false">COUNTIF('Project-Tags'!$B$2:$B$100000,A92)</f>
        <v>5</v>
      </c>
    </row>
    <row r="93" customFormat="false" ht="15" hidden="false" customHeight="false" outlineLevel="0" collapsed="false">
      <c r="A93" s="8" t="s">
        <v>1586</v>
      </c>
      <c r="B93" s="8" t="n">
        <f aca="false">COUNTIF('Project-Tags'!$B$2:$B$100000,A93)</f>
        <v>3</v>
      </c>
    </row>
    <row r="94" customFormat="false" ht="15" hidden="false" customHeight="false" outlineLevel="0" collapsed="false">
      <c r="A94" s="8" t="s">
        <v>1587</v>
      </c>
      <c r="B94" s="8" t="n">
        <f aca="false">COUNTIF('Project-Tags'!$B$2:$B$100000,A94)</f>
        <v>44</v>
      </c>
    </row>
    <row r="95" customFormat="false" ht="15" hidden="false" customHeight="false" outlineLevel="0" collapsed="false">
      <c r="A95" s="8" t="s">
        <v>1588</v>
      </c>
      <c r="B95" s="8" t="n">
        <f aca="false">COUNTIF('Project-Tags'!$B$2:$B$100000,A95)</f>
        <v>3</v>
      </c>
    </row>
    <row r="96" customFormat="false" ht="15" hidden="false" customHeight="false" outlineLevel="0" collapsed="false">
      <c r="A96" s="8" t="s">
        <v>1589</v>
      </c>
      <c r="B96" s="8" t="n">
        <f aca="false">COUNTIF('Project-Tags'!$B$2:$B$100000,A96)</f>
        <v>2</v>
      </c>
    </row>
    <row r="97" customFormat="false" ht="15" hidden="false" customHeight="false" outlineLevel="0" collapsed="false">
      <c r="A97" s="8" t="s">
        <v>1590</v>
      </c>
      <c r="B97" s="8" t="n">
        <f aca="false">COUNTIF('Project-Tags'!$B$2:$B$100000,A97)</f>
        <v>4</v>
      </c>
    </row>
    <row r="98" customFormat="false" ht="15" hidden="false" customHeight="false" outlineLevel="0" collapsed="false">
      <c r="A98" s="8" t="s">
        <v>1591</v>
      </c>
      <c r="B98" s="8" t="n">
        <f aca="false">COUNTIF('Project-Tags'!$B$2:$B$100000,A98)</f>
        <v>1</v>
      </c>
    </row>
    <row r="99" customFormat="false" ht="15" hidden="false" customHeight="false" outlineLevel="0" collapsed="false">
      <c r="A99" s="8" t="s">
        <v>1592</v>
      </c>
      <c r="B99" s="8" t="n">
        <f aca="false">COUNTIF('Project-Tags'!$B$2:$B$100000,A99)</f>
        <v>2</v>
      </c>
    </row>
    <row r="100" customFormat="false" ht="15" hidden="false" customHeight="false" outlineLevel="0" collapsed="false">
      <c r="A100" s="8" t="s">
        <v>1593</v>
      </c>
      <c r="B100" s="8" t="n">
        <f aca="false">COUNTIF('Project-Tags'!$B$2:$B$100000,A100)</f>
        <v>47</v>
      </c>
    </row>
    <row r="101" customFormat="false" ht="15" hidden="false" customHeight="false" outlineLevel="0" collapsed="false">
      <c r="A101" s="8" t="s">
        <v>1594</v>
      </c>
      <c r="B101" s="8" t="n">
        <f aca="false">COUNTIF('Project-Tags'!$B$2:$B$100000,A101)</f>
        <v>1</v>
      </c>
    </row>
    <row r="102" customFormat="false" ht="15" hidden="false" customHeight="false" outlineLevel="0" collapsed="false">
      <c r="A102" s="8" t="s">
        <v>1595</v>
      </c>
      <c r="B102" s="8" t="n">
        <f aca="false">COUNTIF('Project-Tags'!$B$2:$B$100000,A102)</f>
        <v>1</v>
      </c>
    </row>
    <row r="103" customFormat="false" ht="15" hidden="false" customHeight="false" outlineLevel="0" collapsed="false">
      <c r="A103" s="8" t="s">
        <v>1596</v>
      </c>
      <c r="B103" s="8" t="n">
        <f aca="false">COUNTIF('Project-Tags'!$B$2:$B$100000,A103)</f>
        <v>2</v>
      </c>
    </row>
    <row r="104" customFormat="false" ht="15" hidden="false" customHeight="false" outlineLevel="0" collapsed="false">
      <c r="A104" s="8" t="s">
        <v>1597</v>
      </c>
      <c r="B104" s="8" t="n">
        <f aca="false">COUNTIF('Project-Tags'!$B$2:$B$100000,A104)</f>
        <v>1</v>
      </c>
    </row>
    <row r="105" customFormat="false" ht="15" hidden="false" customHeight="false" outlineLevel="0" collapsed="false">
      <c r="A105" s="8" t="s">
        <v>1598</v>
      </c>
      <c r="B105" s="8" t="n">
        <f aca="false">COUNTIF('Project-Tags'!$B$2:$B$100000,A105)</f>
        <v>3</v>
      </c>
    </row>
    <row r="106" customFormat="false" ht="15" hidden="false" customHeight="false" outlineLevel="0" collapsed="false">
      <c r="A106" s="8" t="s">
        <v>1599</v>
      </c>
      <c r="B106" s="8" t="n">
        <f aca="false">COUNTIF('Project-Tags'!$B$2:$B$100000,A106)</f>
        <v>6</v>
      </c>
    </row>
    <row r="107" customFormat="false" ht="15" hidden="false" customHeight="false" outlineLevel="0" collapsed="false">
      <c r="A107" s="8" t="s">
        <v>1600</v>
      </c>
      <c r="B107" s="8" t="n">
        <f aca="false">COUNTIF('Project-Tags'!$B$2:$B$100000,A107)</f>
        <v>1</v>
      </c>
    </row>
    <row r="108" customFormat="false" ht="15" hidden="false" customHeight="false" outlineLevel="0" collapsed="false">
      <c r="A108" s="8" t="s">
        <v>1601</v>
      </c>
      <c r="B108" s="8" t="n">
        <f aca="false">COUNTIF('Project-Tags'!$B$2:$B$100000,A108)</f>
        <v>3</v>
      </c>
    </row>
    <row r="109" customFormat="false" ht="15" hidden="false" customHeight="false" outlineLevel="0" collapsed="false">
      <c r="A109" s="8" t="s">
        <v>1602</v>
      </c>
      <c r="B109" s="8" t="n">
        <f aca="false">COUNTIF('Project-Tags'!$B$2:$B$100000,A109)</f>
        <v>35</v>
      </c>
    </row>
    <row r="110" customFormat="false" ht="15" hidden="false" customHeight="false" outlineLevel="0" collapsed="false">
      <c r="A110" s="8" t="s">
        <v>1603</v>
      </c>
      <c r="B110" s="8" t="n">
        <f aca="false">COUNTIF('Project-Tags'!$B$2:$B$100000,A110)</f>
        <v>3</v>
      </c>
    </row>
    <row r="111" customFormat="false" ht="15" hidden="false" customHeight="false" outlineLevel="0" collapsed="false">
      <c r="A111" s="8" t="s">
        <v>1604</v>
      </c>
      <c r="B111" s="8" t="n">
        <f aca="false">COUNTIF('Project-Tags'!$B$2:$B$100000,A111)</f>
        <v>5</v>
      </c>
    </row>
    <row r="112" customFormat="false" ht="15" hidden="false" customHeight="false" outlineLevel="0" collapsed="false">
      <c r="A112" s="8" t="s">
        <v>1605</v>
      </c>
      <c r="B112" s="8" t="n">
        <f aca="false">COUNTIF('Project-Tags'!$B$2:$B$100000,A112)</f>
        <v>16</v>
      </c>
    </row>
    <row r="113" customFormat="false" ht="15" hidden="false" customHeight="false" outlineLevel="0" collapsed="false">
      <c r="A113" s="8" t="s">
        <v>1606</v>
      </c>
      <c r="B113" s="8" t="n">
        <f aca="false">COUNTIF('Project-Tags'!$B$2:$B$100000,A113)</f>
        <v>5</v>
      </c>
    </row>
    <row r="114" customFormat="false" ht="15" hidden="false" customHeight="false" outlineLevel="0" collapsed="false">
      <c r="A114" s="8" t="s">
        <v>1607</v>
      </c>
      <c r="B114" s="8" t="n">
        <f aca="false">COUNTIF('Project-Tags'!$B$2:$B$100000,A114)</f>
        <v>1</v>
      </c>
    </row>
    <row r="115" customFormat="false" ht="15" hidden="false" customHeight="false" outlineLevel="0" collapsed="false">
      <c r="A115" s="8" t="s">
        <v>1608</v>
      </c>
      <c r="B115" s="8" t="n">
        <f aca="false">COUNTIF('Project-Tags'!$B$2:$B$100000,A115)</f>
        <v>28</v>
      </c>
    </row>
    <row r="116" customFormat="false" ht="15" hidden="false" customHeight="false" outlineLevel="0" collapsed="false">
      <c r="A116" s="8" t="s">
        <v>1609</v>
      </c>
      <c r="B116" s="8" t="n">
        <f aca="false">COUNTIF('Project-Tags'!$B$2:$B$100000,A116)</f>
        <v>7</v>
      </c>
    </row>
    <row r="117" customFormat="false" ht="15" hidden="false" customHeight="false" outlineLevel="0" collapsed="false">
      <c r="A117" s="8" t="s">
        <v>1610</v>
      </c>
      <c r="B117" s="8" t="n">
        <f aca="false">COUNTIF('Project-Tags'!$B$2:$B$100000,A117)</f>
        <v>33</v>
      </c>
    </row>
    <row r="118" customFormat="false" ht="15" hidden="false" customHeight="false" outlineLevel="0" collapsed="false">
      <c r="A118" s="8" t="s">
        <v>1611</v>
      </c>
      <c r="B118" s="8" t="n">
        <f aca="false">COUNTIF('Project-Tags'!$B$2:$B$100000,A118)</f>
        <v>2</v>
      </c>
    </row>
    <row r="119" customFormat="false" ht="15" hidden="false" customHeight="false" outlineLevel="0" collapsed="false">
      <c r="A119" s="8" t="s">
        <v>1612</v>
      </c>
      <c r="B119" s="8" t="n">
        <f aca="false">COUNTIF('Project-Tags'!$B$2:$B$100000,A119)</f>
        <v>7</v>
      </c>
    </row>
    <row r="120" customFormat="false" ht="15" hidden="false" customHeight="false" outlineLevel="0" collapsed="false">
      <c r="A120" s="8" t="s">
        <v>1613</v>
      </c>
      <c r="B120" s="8" t="n">
        <f aca="false">COUNTIF('Project-Tags'!$B$2:$B$100000,A120)</f>
        <v>110</v>
      </c>
    </row>
    <row r="121" customFormat="false" ht="15" hidden="false" customHeight="false" outlineLevel="0" collapsed="false">
      <c r="A121" s="8" t="s">
        <v>1614</v>
      </c>
      <c r="B121" s="8" t="n">
        <f aca="false">COUNTIF('Project-Tags'!$B$2:$B$100000,A121)</f>
        <v>5</v>
      </c>
    </row>
    <row r="122" customFormat="false" ht="15" hidden="false" customHeight="false" outlineLevel="0" collapsed="false">
      <c r="A122" s="8" t="s">
        <v>1615</v>
      </c>
      <c r="B122" s="8" t="n">
        <f aca="false">COUNTIF('Project-Tags'!$B$2:$B$100000,A122)</f>
        <v>2</v>
      </c>
    </row>
    <row r="123" customFormat="false" ht="15" hidden="false" customHeight="false" outlineLevel="0" collapsed="false">
      <c r="A123" s="8" t="s">
        <v>1616</v>
      </c>
      <c r="B123" s="8" t="n">
        <f aca="false">COUNTIF('Project-Tags'!$B$2:$B$100000,A123)</f>
        <v>4</v>
      </c>
    </row>
    <row r="124" customFormat="false" ht="15" hidden="false" customHeight="false" outlineLevel="0" collapsed="false">
      <c r="A124" s="8" t="s">
        <v>1617</v>
      </c>
      <c r="B124" s="8" t="n">
        <f aca="false">COUNTIF('Project-Tags'!$B$2:$B$100000,A124)</f>
        <v>1</v>
      </c>
    </row>
    <row r="125" customFormat="false" ht="15" hidden="false" customHeight="false" outlineLevel="0" collapsed="false">
      <c r="A125" s="8" t="s">
        <v>1618</v>
      </c>
      <c r="B125" s="8" t="n">
        <f aca="false">COUNTIF('Project-Tags'!$B$2:$B$100000,A125)</f>
        <v>2</v>
      </c>
    </row>
    <row r="126" customFormat="false" ht="15" hidden="false" customHeight="false" outlineLevel="0" collapsed="false">
      <c r="A126" s="8" t="s">
        <v>1619</v>
      </c>
      <c r="B126" s="8" t="n">
        <f aca="false">COUNTIF('Project-Tags'!$B$2:$B$100000,A126)</f>
        <v>4</v>
      </c>
    </row>
    <row r="127" customFormat="false" ht="15" hidden="false" customHeight="false" outlineLevel="0" collapsed="false">
      <c r="A127" s="8" t="s">
        <v>1620</v>
      </c>
      <c r="B127" s="8" t="n">
        <f aca="false">COUNTIF('Project-Tags'!$B$2:$B$100000,A127)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20</v>
      </c>
      <c r="B1" s="7" t="s">
        <v>21</v>
      </c>
      <c r="C1" s="7" t="s">
        <v>1621</v>
      </c>
      <c r="D1" s="7" t="s">
        <v>1622</v>
      </c>
    </row>
    <row r="2" customFormat="false" ht="15" hidden="false" customHeight="false" outlineLevel="0" collapsed="false">
      <c r="A2" s="8" t="s">
        <v>42</v>
      </c>
      <c r="B2" s="8" t="s">
        <v>43</v>
      </c>
      <c r="C2" s="8" t="n">
        <f aca="false">COUNTIF('Project Classifications'!$F$2:$F$100000,A2)</f>
        <v>73</v>
      </c>
      <c r="D2" s="8" t="n">
        <f aca="false">COUNTIF('File Classifications'!$F$2:$F$100000,A2)</f>
        <v>226</v>
      </c>
    </row>
    <row r="3" customFormat="false" ht="15" hidden="false" customHeight="false" outlineLevel="0" collapsed="false">
      <c r="A3" s="8" t="s">
        <v>48</v>
      </c>
      <c r="B3" s="8" t="s">
        <v>49</v>
      </c>
      <c r="C3" s="8" t="n">
        <f aca="false">COUNTIF('Project Classifications'!$F$2:$F$100000,A3)</f>
        <v>65</v>
      </c>
      <c r="D3" s="8" t="n">
        <f aca="false">COUNTIF('File Classifications'!$F$2:$F$100000,A3)</f>
        <v>250</v>
      </c>
    </row>
    <row r="4" customFormat="false" ht="15" hidden="false" customHeight="false" outlineLevel="0" collapsed="false">
      <c r="A4" s="8" t="s">
        <v>53</v>
      </c>
      <c r="B4" s="8" t="s">
        <v>54</v>
      </c>
      <c r="C4" s="8" t="n">
        <f aca="false">COUNTIF('Project Classifications'!$F$2:$F$100000,A4)</f>
        <v>48</v>
      </c>
      <c r="D4" s="8" t="n">
        <f aca="false">COUNTIF('File Classifications'!$F$2:$F$100000,A4)</f>
        <v>179</v>
      </c>
    </row>
    <row r="5" customFormat="false" ht="15" hidden="false" customHeight="false" outlineLevel="0" collapsed="false">
      <c r="A5" s="8" t="s">
        <v>71</v>
      </c>
      <c r="B5" s="8" t="s">
        <v>72</v>
      </c>
      <c r="C5" s="8" t="n">
        <f aca="false">COUNTIF('Project Classifications'!$F$2:$F$100000,A5)</f>
        <v>13</v>
      </c>
      <c r="D5" s="8" t="n">
        <f aca="false">COUNTIF('File Classifications'!$F$2:$F$100000,A5)</f>
        <v>49</v>
      </c>
    </row>
    <row r="6" customFormat="false" ht="15" hidden="false" customHeight="false" outlineLevel="0" collapsed="false">
      <c r="A6" s="8" t="s">
        <v>30</v>
      </c>
      <c r="B6" s="8" t="s">
        <v>31</v>
      </c>
      <c r="C6" s="8" t="n">
        <f aca="false">COUNTIF('Project Classifications'!$F$2:$F$100000,A6)</f>
        <v>7</v>
      </c>
      <c r="D6" s="8" t="n">
        <f aca="false">COUNTIF('File Classifications'!$F$2:$F$100000,A6)</f>
        <v>30</v>
      </c>
    </row>
    <row r="7" customFormat="false" ht="15" hidden="false" customHeight="false" outlineLevel="0" collapsed="false">
      <c r="A7" s="8" t="s">
        <v>36</v>
      </c>
      <c r="B7" s="8" t="s">
        <v>37</v>
      </c>
      <c r="C7" s="8" t="n">
        <f aca="false">COUNTIF('Project Classifications'!$F$2:$F$100000,A7)</f>
        <v>7</v>
      </c>
      <c r="D7" s="8" t="n">
        <f aca="false">COUNTIF('File Classifications'!$F$2:$F$100000,A7)</f>
        <v>25</v>
      </c>
    </row>
    <row r="8" customFormat="false" ht="15" hidden="false" customHeight="false" outlineLevel="0" collapsed="false">
      <c r="A8" s="8" t="s">
        <v>179</v>
      </c>
      <c r="B8" s="8" t="s">
        <v>180</v>
      </c>
      <c r="C8" s="8" t="n">
        <f aca="false">COUNTIF('Project Classifications'!$F$2:$F$100000,A8)</f>
        <v>3</v>
      </c>
      <c r="D8" s="8" t="n">
        <f aca="false">COUNTIF('File Classifications'!$F$2:$F$100000,A8)</f>
        <v>44</v>
      </c>
    </row>
    <row r="9" customFormat="false" ht="15" hidden="false" customHeight="false" outlineLevel="0" collapsed="false">
      <c r="A9" s="8" t="s">
        <v>271</v>
      </c>
      <c r="B9" s="8" t="s">
        <v>272</v>
      </c>
      <c r="C9" s="8" t="n">
        <f aca="false">COUNTIF('Project Classifications'!$F$2:$F$100000,A9)</f>
        <v>3</v>
      </c>
      <c r="D9" s="8" t="n">
        <f aca="false">COUNTIF('File Classifications'!$F$2:$F$100000,A9)</f>
        <v>4</v>
      </c>
    </row>
    <row r="10" customFormat="false" ht="15" hidden="false" customHeight="false" outlineLevel="0" collapsed="false">
      <c r="A10" s="8" t="s">
        <v>97</v>
      </c>
      <c r="B10" s="8" t="s">
        <v>98</v>
      </c>
      <c r="C10" s="8" t="n">
        <f aca="false">COUNTIF('Project Classifications'!$F$2:$F$100000,A10)</f>
        <v>3</v>
      </c>
      <c r="D10" s="8" t="n">
        <f aca="false">COUNTIF('File Classifications'!$F$2:$F$100000,A10)</f>
        <v>10</v>
      </c>
    </row>
    <row r="11" customFormat="false" ht="15" hidden="false" customHeight="false" outlineLevel="0" collapsed="false">
      <c r="A11" s="8" t="s">
        <v>305</v>
      </c>
      <c r="B11" s="8" t="s">
        <v>306</v>
      </c>
      <c r="C11" s="8" t="n">
        <f aca="false">COUNTIF('Project Classifications'!$F$2:$F$100000,A11)</f>
        <v>2</v>
      </c>
      <c r="D11" s="8" t="n">
        <f aca="false">COUNTIF('File Classifications'!$F$2:$F$100000,A11)</f>
        <v>101</v>
      </c>
    </row>
    <row r="12" customFormat="false" ht="15" hidden="false" customHeight="false" outlineLevel="0" collapsed="false">
      <c r="A12" s="8" t="s">
        <v>339</v>
      </c>
      <c r="B12" s="8" t="s">
        <v>340</v>
      </c>
      <c r="C12" s="8" t="n">
        <f aca="false">COUNTIF('Project Classifications'!$F$2:$F$100000,A12)</f>
        <v>1</v>
      </c>
      <c r="D12" s="8" t="n">
        <f aca="false">COUNTIF('File Classifications'!$F$2:$F$100000,A12)</f>
        <v>1</v>
      </c>
    </row>
    <row r="13" customFormat="false" ht="15" hidden="false" customHeight="false" outlineLevel="0" collapsed="false">
      <c r="A13" s="8" t="s">
        <v>445</v>
      </c>
      <c r="B13" s="8" t="s">
        <v>446</v>
      </c>
      <c r="C13" s="8" t="n">
        <f aca="false">COUNTIF('Project Classifications'!$F$2:$F$100000,A13)</f>
        <v>1</v>
      </c>
      <c r="D13" s="8" t="n">
        <f aca="false">COUNTIF('File Classifications'!$F$2:$F$100000,A13)</f>
        <v>9</v>
      </c>
    </row>
    <row r="14" customFormat="false" ht="15" hidden="false" customHeight="false" outlineLevel="0" collapsed="false">
      <c r="A14" s="8" t="s">
        <v>117</v>
      </c>
      <c r="B14" s="8" t="s">
        <v>118</v>
      </c>
      <c r="C14" s="8" t="n">
        <f aca="false">COUNTIF('Project Classifications'!$F$2:$F$100000,A14)</f>
        <v>1</v>
      </c>
      <c r="D14" s="8" t="n">
        <f aca="false">COUNTIF('File Classifications'!$F$2:$F$100000,A14)</f>
        <v>9</v>
      </c>
    </row>
    <row r="15" customFormat="false" ht="15" hidden="false" customHeight="false" outlineLevel="0" collapsed="false">
      <c r="A15" s="8" t="s">
        <v>195</v>
      </c>
      <c r="B15" s="8" t="s">
        <v>196</v>
      </c>
      <c r="C15" s="8" t="n">
        <f aca="false">COUNTIF('Project Classifications'!$F$2:$F$100000,A15)</f>
        <v>1</v>
      </c>
      <c r="D15" s="8" t="n">
        <f aca="false">COUNTIF('File Classifications'!$F$2:$F$100000,A15)</f>
        <v>3</v>
      </c>
    </row>
    <row r="16" customFormat="false" ht="15" hidden="false" customHeight="false" outlineLevel="0" collapsed="false">
      <c r="A16" s="8" t="s">
        <v>473</v>
      </c>
      <c r="B16" s="8" t="s">
        <v>474</v>
      </c>
      <c r="C16" s="8" t="n">
        <f aca="false">COUNTIF('Project Classifications'!$F$2:$F$100000,A16)</f>
        <v>1</v>
      </c>
      <c r="D16" s="8" t="n">
        <f aca="false">COUNTIF('File Classifications'!$F$2:$F$100000,A16)</f>
        <v>1</v>
      </c>
    </row>
    <row r="17" customFormat="false" ht="15" hidden="false" customHeight="false" outlineLevel="0" collapsed="false">
      <c r="A17" s="8" t="s">
        <v>320</v>
      </c>
      <c r="B17" s="8" t="s">
        <v>321</v>
      </c>
      <c r="C17" s="8" t="n">
        <f aca="false">COUNTIF('Project Classifications'!$F$2:$F$100000,A17)</f>
        <v>1</v>
      </c>
      <c r="D17" s="8" t="n">
        <f aca="false">COUNTIF('File Classifications'!$F$2:$F$100000,A17)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23.85" hidden="false" customHeight="false" outlineLevel="0" collapsed="false">
      <c r="A1" s="7" t="s">
        <v>20</v>
      </c>
      <c r="B1" s="7" t="s">
        <v>22</v>
      </c>
      <c r="C1" s="7" t="s">
        <v>23</v>
      </c>
      <c r="D1" s="7" t="s">
        <v>1621</v>
      </c>
      <c r="E1" s="7" t="s">
        <v>1622</v>
      </c>
      <c r="F1" s="7" t="s">
        <v>1623</v>
      </c>
    </row>
    <row r="2" customFormat="false" ht="15" hidden="false" customHeight="false" outlineLevel="0" collapsed="false">
      <c r="A2" s="8" t="s">
        <v>42</v>
      </c>
      <c r="B2" s="8" t="s">
        <v>44</v>
      </c>
      <c r="C2" s="8" t="s">
        <v>45</v>
      </c>
      <c r="D2" s="8" t="n">
        <f aca="false">COUNTIFS('Project Classifications'!$F$2:$F$100000,A2,'Project Classifications'!$H$2:$H$100000,B2)</f>
        <v>73</v>
      </c>
      <c r="E2" s="8" t="n">
        <f aca="false">COUNTIFS('File Classifications'!$F$2:$F$100000,A2,'File Classifications'!$G$2:$G$100000,B2)</f>
        <v>226</v>
      </c>
      <c r="F2" s="9" t="n">
        <f aca="false">IFERROR(AVERAGEIFS('Project Classifications'!$J$2:$J$100000,'Project Classifications'!$F$2:$F$100000,A2,'Project Classifications'!$H$2:$H$100000,B2),0)</f>
        <v>0.288432267884323</v>
      </c>
    </row>
    <row r="3" customFormat="false" ht="15" hidden="false" customHeight="false" outlineLevel="0" collapsed="false">
      <c r="A3" s="8" t="s">
        <v>48</v>
      </c>
      <c r="B3" s="8" t="s">
        <v>50</v>
      </c>
      <c r="C3" s="8" t="s">
        <v>49</v>
      </c>
      <c r="D3" s="8" t="n">
        <f aca="false">COUNTIFS('Project Classifications'!$F$2:$F$100000,A3,'Project Classifications'!$H$2:$H$100000,B3)</f>
        <v>65</v>
      </c>
      <c r="E3" s="8" t="n">
        <f aca="false">COUNTIFS('File Classifications'!$F$2:$F$100000,A3,'File Classifications'!$G$2:$G$100000,B3)</f>
        <v>250</v>
      </c>
      <c r="F3" s="9" t="n">
        <f aca="false">IFERROR(AVERAGEIFS('Project Classifications'!$J$2:$J$100000,'Project Classifications'!$F$2:$F$100000,A3,'Project Classifications'!$H$2:$H$100000,B3),0)</f>
        <v>0.229807692307692</v>
      </c>
    </row>
    <row r="4" customFormat="false" ht="15" hidden="false" customHeight="false" outlineLevel="0" collapsed="false">
      <c r="A4" s="8" t="s">
        <v>53</v>
      </c>
      <c r="B4" s="8" t="s">
        <v>55</v>
      </c>
      <c r="C4" s="8" t="s">
        <v>56</v>
      </c>
      <c r="D4" s="8" t="n">
        <f aca="false">COUNTIFS('Project Classifications'!$F$2:$F$100000,A4,'Project Classifications'!$H$2:$H$100000,B4)</f>
        <v>48</v>
      </c>
      <c r="E4" s="8" t="n">
        <f aca="false">COUNTIFS('File Classifications'!$F$2:$F$100000,A4,'File Classifications'!$G$2:$G$100000,B4)</f>
        <v>175</v>
      </c>
      <c r="F4" s="9" t="n">
        <f aca="false">IFERROR(AVERAGEIFS('Project Classifications'!$J$2:$J$100000,'Project Classifications'!$F$2:$F$100000,A4,'Project Classifications'!$H$2:$H$100000,B4),0)</f>
        <v>0.223214285714286</v>
      </c>
    </row>
    <row r="5" customFormat="false" ht="15" hidden="false" customHeight="false" outlineLevel="0" collapsed="false">
      <c r="A5" s="8" t="s">
        <v>71</v>
      </c>
      <c r="B5" s="8" t="s">
        <v>73</v>
      </c>
      <c r="C5" s="8" t="s">
        <v>74</v>
      </c>
      <c r="D5" s="8" t="n">
        <f aca="false">COUNTIFS('Project Classifications'!$F$2:$F$100000,A5,'Project Classifications'!$H$2:$H$100000,B5)</f>
        <v>7</v>
      </c>
      <c r="E5" s="8" t="n">
        <f aca="false">COUNTIFS('File Classifications'!$F$2:$F$100000,A5,'File Classifications'!$G$2:$G$100000,B5)</f>
        <v>17</v>
      </c>
      <c r="F5" s="9" t="n">
        <f aca="false">IFERROR(AVERAGEIFS('Project Classifications'!$J$2:$J$100000,'Project Classifications'!$F$2:$F$100000,A5,'Project Classifications'!$H$2:$H$100000,B5),0)</f>
        <v>0.0918367346938775</v>
      </c>
    </row>
    <row r="6" customFormat="false" ht="15" hidden="false" customHeight="false" outlineLevel="0" collapsed="false">
      <c r="A6" s="8" t="s">
        <v>30</v>
      </c>
      <c r="B6" s="8" t="s">
        <v>32</v>
      </c>
      <c r="C6" s="8" t="s">
        <v>31</v>
      </c>
      <c r="D6" s="8" t="n">
        <f aca="false">COUNTIFS('Project Classifications'!$F$2:$F$100000,A6,'Project Classifications'!$H$2:$H$100000,B6)</f>
        <v>7</v>
      </c>
      <c r="E6" s="8" t="n">
        <f aca="false">COUNTIFS('File Classifications'!$F$2:$F$100000,A6,'File Classifications'!$G$2:$G$100000,B6)</f>
        <v>30</v>
      </c>
      <c r="F6" s="9" t="n">
        <f aca="false">IFERROR(AVERAGEIFS('Project Classifications'!$J$2:$J$100000,'Project Classifications'!$F$2:$F$100000,A6,'Project Classifications'!$H$2:$H$100000,B6),0)</f>
        <v>0.126050420168067</v>
      </c>
    </row>
    <row r="7" customFormat="false" ht="15" hidden="false" customHeight="false" outlineLevel="0" collapsed="false">
      <c r="A7" s="8" t="s">
        <v>36</v>
      </c>
      <c r="B7" s="8" t="s">
        <v>38</v>
      </c>
      <c r="C7" s="8" t="s">
        <v>39</v>
      </c>
      <c r="D7" s="8" t="n">
        <f aca="false">COUNTIFS('Project Classifications'!$F$2:$F$100000,A7,'Project Classifications'!$H$2:$H$100000,B7)</f>
        <v>6</v>
      </c>
      <c r="E7" s="8" t="n">
        <f aca="false">COUNTIFS('File Classifications'!$F$2:$F$100000,A7,'File Classifications'!$G$2:$G$100000,B7)</f>
        <v>15</v>
      </c>
      <c r="F7" s="9" t="n">
        <f aca="false">IFERROR(AVERAGEIFS('Project Classifications'!$J$2:$J$100000,'Project Classifications'!$F$2:$F$100000,A7,'Project Classifications'!$H$2:$H$100000,B7),0)</f>
        <v>0.3125</v>
      </c>
    </row>
    <row r="8" customFormat="false" ht="15" hidden="false" customHeight="false" outlineLevel="0" collapsed="false">
      <c r="A8" s="8" t="s">
        <v>71</v>
      </c>
      <c r="B8" s="8" t="s">
        <v>83</v>
      </c>
      <c r="C8" s="8" t="s">
        <v>84</v>
      </c>
      <c r="D8" s="8" t="n">
        <f aca="false">COUNTIFS('Project Classifications'!$F$2:$F$100000,A8,'Project Classifications'!$H$2:$H$100000,B8)</f>
        <v>5</v>
      </c>
      <c r="E8" s="8" t="n">
        <f aca="false">COUNTIFS('File Classifications'!$F$2:$F$100000,A8,'File Classifications'!$G$2:$G$100000,B8)</f>
        <v>27</v>
      </c>
      <c r="F8" s="9" t="n">
        <f aca="false">IFERROR(AVERAGEIFS('Project Classifications'!$J$2:$J$100000,'Project Classifications'!$F$2:$F$100000,A8,'Project Classifications'!$H$2:$H$100000,B8),0)</f>
        <v>0.3</v>
      </c>
    </row>
    <row r="9" customFormat="false" ht="15" hidden="false" customHeight="false" outlineLevel="0" collapsed="false">
      <c r="A9" s="8" t="s">
        <v>271</v>
      </c>
      <c r="B9" s="8" t="s">
        <v>273</v>
      </c>
      <c r="C9" s="8" t="s">
        <v>274</v>
      </c>
      <c r="D9" s="8" t="n">
        <f aca="false">COUNTIFS('Project Classifications'!$F$2:$F$100000,A9,'Project Classifications'!$H$2:$H$100000,B9)</f>
        <v>3</v>
      </c>
      <c r="E9" s="8" t="n">
        <f aca="false">COUNTIFS('File Classifications'!$F$2:$F$100000,A9,'File Classifications'!$G$2:$G$100000,B9)</f>
        <v>4</v>
      </c>
      <c r="F9" s="9" t="n">
        <f aca="false">IFERROR(AVERAGEIFS('Project Classifications'!$J$2:$J$100000,'Project Classifications'!$F$2:$F$100000,A9,'Project Classifications'!$H$2:$H$100000,B9),0)</f>
        <v>0.5</v>
      </c>
    </row>
    <row r="10" customFormat="false" ht="15" hidden="false" customHeight="false" outlineLevel="0" collapsed="false">
      <c r="A10" s="8" t="s">
        <v>97</v>
      </c>
      <c r="B10" s="8" t="s">
        <v>99</v>
      </c>
      <c r="C10" s="8" t="s">
        <v>100</v>
      </c>
      <c r="D10" s="8" t="n">
        <f aca="false">COUNTIFS('Project Classifications'!$F$2:$F$100000,A10,'Project Classifications'!$H$2:$H$100000,B10)</f>
        <v>3</v>
      </c>
      <c r="E10" s="8" t="n">
        <f aca="false">COUNTIFS('File Classifications'!$F$2:$F$100000,A10,'File Classifications'!$G$2:$G$100000,B10)</f>
        <v>8</v>
      </c>
      <c r="F10" s="9" t="n">
        <f aca="false">IFERROR(AVERAGEIFS('Project Classifications'!$J$2:$J$100000,'Project Classifications'!$F$2:$F$100000,A10,'Project Classifications'!$H$2:$H$100000,B10),0)</f>
        <v>0.142857142857143</v>
      </c>
    </row>
    <row r="11" customFormat="false" ht="15" hidden="false" customHeight="false" outlineLevel="0" collapsed="false">
      <c r="A11" s="8" t="s">
        <v>179</v>
      </c>
      <c r="B11" s="8" t="s">
        <v>181</v>
      </c>
      <c r="C11" s="8" t="s">
        <v>182</v>
      </c>
      <c r="D11" s="8" t="n">
        <f aca="false">COUNTIFS('Project Classifications'!$F$2:$F$100000,A11,'Project Classifications'!$H$2:$H$100000,B11)</f>
        <v>2</v>
      </c>
      <c r="E11" s="8" t="n">
        <f aca="false">COUNTIFS('File Classifications'!$F$2:$F$100000,A11,'File Classifications'!$G$2:$G$100000,B11)</f>
        <v>39</v>
      </c>
      <c r="F11" s="9" t="n">
        <f aca="false">IFERROR(AVERAGEIFS('Project Classifications'!$J$2:$J$100000,'Project Classifications'!$F$2:$F$100000,A11,'Project Classifications'!$H$2:$H$100000,B11),0)</f>
        <v>0.333333333333333</v>
      </c>
    </row>
    <row r="12" customFormat="false" ht="15" hidden="false" customHeight="false" outlineLevel="0" collapsed="false">
      <c r="A12" s="8" t="s">
        <v>305</v>
      </c>
      <c r="B12" s="8" t="s">
        <v>307</v>
      </c>
      <c r="C12" s="8" t="s">
        <v>306</v>
      </c>
      <c r="D12" s="8" t="n">
        <f aca="false">COUNTIFS('Project Classifications'!$F$2:$F$100000,A12,'Project Classifications'!$H$2:$H$100000,B12)</f>
        <v>2</v>
      </c>
      <c r="E12" s="8" t="n">
        <f aca="false">COUNTIFS('File Classifications'!$F$2:$F$100000,A12,'File Classifications'!$G$2:$G$100000,B12)</f>
        <v>101</v>
      </c>
      <c r="F12" s="9" t="n">
        <f aca="false">IFERROR(AVERAGEIFS('Project Classifications'!$J$2:$J$100000,'Project Classifications'!$F$2:$F$100000,A12,'Project Classifications'!$H$2:$H$100000,B12),0)</f>
        <v>0</v>
      </c>
    </row>
    <row r="13" customFormat="false" ht="15" hidden="false" customHeight="false" outlineLevel="0" collapsed="false">
      <c r="A13" s="8" t="s">
        <v>179</v>
      </c>
      <c r="B13" s="8" t="s">
        <v>553</v>
      </c>
      <c r="C13" s="8" t="s">
        <v>554</v>
      </c>
      <c r="D13" s="8" t="n">
        <f aca="false">COUNTIFS('Project Classifications'!$F$2:$F$100000,A13,'Project Classifications'!$H$2:$H$100000,B13)</f>
        <v>1</v>
      </c>
      <c r="E13" s="8" t="n">
        <f aca="false">COUNTIFS('File Classifications'!$F$2:$F$100000,A13,'File Classifications'!$G$2:$G$100000,B13)</f>
        <v>3</v>
      </c>
      <c r="F13" s="9" t="n">
        <f aca="false">IFERROR(AVERAGEIFS('Project Classifications'!$J$2:$J$100000,'Project Classifications'!$F$2:$F$100000,A13,'Project Classifications'!$H$2:$H$100000,B13),0)</f>
        <v>0.5</v>
      </c>
    </row>
    <row r="14" customFormat="false" ht="15" hidden="false" customHeight="false" outlineLevel="0" collapsed="false">
      <c r="A14" s="8" t="s">
        <v>339</v>
      </c>
      <c r="B14" s="8" t="s">
        <v>341</v>
      </c>
      <c r="C14" s="8" t="s">
        <v>342</v>
      </c>
      <c r="D14" s="8" t="n">
        <f aca="false">COUNTIFS('Project Classifications'!$F$2:$F$100000,A14,'Project Classifications'!$H$2:$H$100000,B14)</f>
        <v>1</v>
      </c>
      <c r="E14" s="8" t="n">
        <f aca="false">COUNTIFS('File Classifications'!$F$2:$F$100000,A14,'File Classifications'!$G$2:$G$100000,B14)</f>
        <v>1</v>
      </c>
      <c r="F14" s="9" t="n">
        <f aca="false">IFERROR(AVERAGEIFS('Project Classifications'!$J$2:$J$100000,'Project Classifications'!$F$2:$F$100000,A14,'Project Classifications'!$H$2:$H$100000,B14),0)</f>
        <v>0.666666666666667</v>
      </c>
    </row>
    <row r="15" customFormat="false" ht="15" hidden="false" customHeight="false" outlineLevel="0" collapsed="false">
      <c r="A15" s="8" t="s">
        <v>445</v>
      </c>
      <c r="B15" s="8" t="s">
        <v>447</v>
      </c>
      <c r="C15" s="8" t="s">
        <v>448</v>
      </c>
      <c r="D15" s="8" t="n">
        <f aca="false">COUNTIFS('Project Classifications'!$F$2:$F$100000,A15,'Project Classifications'!$H$2:$H$100000,B15)</f>
        <v>1</v>
      </c>
      <c r="E15" s="8" t="n">
        <f aca="false">COUNTIFS('File Classifications'!$F$2:$F$100000,A15,'File Classifications'!$G$2:$G$100000,B15)</f>
        <v>8</v>
      </c>
      <c r="F15" s="9" t="n">
        <f aca="false">IFERROR(AVERAGEIFS('Project Classifications'!$J$2:$J$100000,'Project Classifications'!$F$2:$F$100000,A15,'Project Classifications'!$H$2:$H$100000,B15),0)</f>
        <v>0.25</v>
      </c>
    </row>
    <row r="16" customFormat="false" ht="15" hidden="false" customHeight="false" outlineLevel="0" collapsed="false">
      <c r="A16" s="8" t="s">
        <v>117</v>
      </c>
      <c r="B16" s="8" t="s">
        <v>119</v>
      </c>
      <c r="C16" s="8" t="s">
        <v>120</v>
      </c>
      <c r="D16" s="8" t="n">
        <f aca="false">COUNTIFS('Project Classifications'!$F$2:$F$100000,A16,'Project Classifications'!$H$2:$H$100000,B16)</f>
        <v>1</v>
      </c>
      <c r="E16" s="8" t="n">
        <f aca="false">COUNTIFS('File Classifications'!$F$2:$F$100000,A16,'File Classifications'!$G$2:$G$100000,B16)</f>
        <v>6</v>
      </c>
      <c r="F16" s="9" t="n">
        <f aca="false">IFERROR(AVERAGEIFS('Project Classifications'!$J$2:$J$100000,'Project Classifications'!$F$2:$F$100000,A16,'Project Classifications'!$H$2:$H$100000,B16),0)</f>
        <v>0.25</v>
      </c>
    </row>
    <row r="17" customFormat="false" ht="15" hidden="false" customHeight="false" outlineLevel="0" collapsed="false">
      <c r="A17" s="8" t="s">
        <v>195</v>
      </c>
      <c r="B17" s="8" t="s">
        <v>197</v>
      </c>
      <c r="C17" s="8" t="s">
        <v>198</v>
      </c>
      <c r="D17" s="8" t="n">
        <f aca="false">COUNTIFS('Project Classifications'!$F$2:$F$100000,A17,'Project Classifications'!$H$2:$H$100000,B17)</f>
        <v>1</v>
      </c>
      <c r="E17" s="8" t="n">
        <f aca="false">COUNTIFS('File Classifications'!$F$2:$F$100000,A17,'File Classifications'!$G$2:$G$100000,B17)</f>
        <v>3</v>
      </c>
      <c r="F17" s="9" t="n">
        <f aca="false">IFERROR(AVERAGEIFS('Project Classifications'!$J$2:$J$100000,'Project Classifications'!$F$2:$F$100000,A17,'Project Classifications'!$H$2:$H$100000,B17),0)</f>
        <v>0.5</v>
      </c>
    </row>
    <row r="18" customFormat="false" ht="15" hidden="false" customHeight="false" outlineLevel="0" collapsed="false">
      <c r="A18" s="8" t="s">
        <v>71</v>
      </c>
      <c r="B18" s="8" t="s">
        <v>493</v>
      </c>
      <c r="C18" s="8" t="s">
        <v>494</v>
      </c>
      <c r="D18" s="8" t="n">
        <f aca="false">COUNTIFS('Project Classifications'!$F$2:$F$100000,A18,'Project Classifications'!$H$2:$H$100000,B18)</f>
        <v>1</v>
      </c>
      <c r="E18" s="8" t="n">
        <f aca="false">COUNTIFS('File Classifications'!$F$2:$F$100000,A18,'File Classifications'!$G$2:$G$100000,B18)</f>
        <v>1</v>
      </c>
      <c r="F18" s="9" t="n">
        <f aca="false">IFERROR(AVERAGEIFS('Project Classifications'!$J$2:$J$100000,'Project Classifications'!$F$2:$F$100000,A18,'Project Classifications'!$H$2:$H$100000,B18),0)</f>
        <v>1</v>
      </c>
    </row>
    <row r="19" customFormat="false" ht="15" hidden="false" customHeight="false" outlineLevel="0" collapsed="false">
      <c r="A19" s="8" t="s">
        <v>36</v>
      </c>
      <c r="B19" s="8" t="s">
        <v>421</v>
      </c>
      <c r="C19" s="8" t="s">
        <v>422</v>
      </c>
      <c r="D19" s="8" t="n">
        <f aca="false">COUNTIFS('Project Classifications'!$F$2:$F$100000,A19,'Project Classifications'!$H$2:$H$100000,B19)</f>
        <v>1</v>
      </c>
      <c r="E19" s="8" t="n">
        <f aca="false">COUNTIFS('File Classifications'!$F$2:$F$100000,A19,'File Classifications'!$G$2:$G$100000,B19)</f>
        <v>3</v>
      </c>
      <c r="F19" s="9" t="n">
        <f aca="false">IFERROR(AVERAGEIFS('Project Classifications'!$J$2:$J$100000,'Project Classifications'!$F$2:$F$100000,A19,'Project Classifications'!$H$2:$H$100000,B19),0)</f>
        <v>0.166666666666667</v>
      </c>
    </row>
    <row r="20" customFormat="false" ht="15" hidden="false" customHeight="false" outlineLevel="0" collapsed="false">
      <c r="A20" s="8" t="s">
        <v>473</v>
      </c>
      <c r="B20" s="8" t="s">
        <v>475</v>
      </c>
      <c r="C20" s="8" t="s">
        <v>476</v>
      </c>
      <c r="D20" s="8" t="n">
        <f aca="false">COUNTIFS('Project Classifications'!$F$2:$F$100000,A20,'Project Classifications'!$H$2:$H$100000,B20)</f>
        <v>1</v>
      </c>
      <c r="E20" s="8" t="n">
        <f aca="false">COUNTIFS('File Classifications'!$F$2:$F$100000,A20,'File Classifications'!$G$2:$G$100000,B20)</f>
        <v>1</v>
      </c>
      <c r="F20" s="9" t="n">
        <f aca="false">IFERROR(AVERAGEIFS('Project Classifications'!$J$2:$J$100000,'Project Classifications'!$F$2:$F$100000,A20,'Project Classifications'!$H$2:$H$100000,B20),0)</f>
        <v>0.285714285714286</v>
      </c>
    </row>
    <row r="21" customFormat="false" ht="15" hidden="false" customHeight="false" outlineLevel="0" collapsed="false">
      <c r="A21" s="8" t="s">
        <v>320</v>
      </c>
      <c r="B21" s="8" t="s">
        <v>322</v>
      </c>
      <c r="C21" s="8" t="s">
        <v>321</v>
      </c>
      <c r="D21" s="8" t="n">
        <f aca="false">COUNTIFS('Project Classifications'!$F$2:$F$100000,A21,'Project Classifications'!$H$2:$H$100000,B21)</f>
        <v>1</v>
      </c>
      <c r="E21" s="8" t="n">
        <f aca="false">COUNTIFS('File Classifications'!$F$2:$F$100000,A21,'File Classifications'!$G$2:$G$100000,B21)</f>
        <v>2</v>
      </c>
      <c r="F21" s="9" t="n">
        <f aca="false">IFERROR(AVERAGEIFS('Project Classifications'!$J$2:$J$100000,'Project Classifications'!$F$2:$F$100000,A21,'Project Classifications'!$H$2:$H$100000,B21),0)</f>
        <v>0.666666666666667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2026-07-16T00:27:04Z</dcterms:created>
  <dc:creator>openpyxl</dc:creator>
  <dc:description/>
  <dc:language>en-US</dc:language>
  <cp:lastModifiedBy/>
  <dcterms:modified xsi:type="dcterms:W3CDTF">2026-07-16T00:27:04Z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